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خطة 30 يوم تحليل بيانات\"/>
    </mc:Choice>
  </mc:AlternateContent>
  <xr:revisionPtr revIDLastSave="0" documentId="13_ncr:1_{9B998A13-19D6-4771-AC08-0FB7498D322F}" xr6:coauthVersionLast="47" xr6:coauthVersionMax="47" xr10:uidLastSave="{00000000-0000-0000-0000-000000000000}"/>
  <bookViews>
    <workbookView xWindow="-110" yWindow="-110" windowWidth="19420" windowHeight="10300" firstSheet="1" activeTab="3" xr2:uid="{69ACF01A-86B7-49BE-9FE4-8D072FE773E0}"/>
  </bookViews>
  <sheets>
    <sheet name="Cleaned_Sales_Data" sheetId="2" r:id="rId1"/>
    <sheet name="Sales_Data" sheetId="1" r:id="rId2"/>
    <sheet name="PV" sheetId="3" r:id="rId3"/>
    <sheet name="DashBoard" sheetId="4" r:id="rId4"/>
  </sheets>
  <definedNames>
    <definedName name="ExternalData_1" localSheetId="0" hidden="1">Cleaned_Sales_Data!$A$1:$K$11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4" l="1"/>
  <c r="P3" i="4"/>
  <c r="P2" i="4"/>
  <c r="P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9CBB22-4343-4740-95BD-6B1748EF4D0F}" keepAlive="1" name="استعلام - ‏‏الجدول1" description="‏‏الاتصال بالاستعلام 'الجدول1' في المصنف." type="5" refreshedVersion="8" background="1" saveData="1">
    <dbPr connection="Provider=Microsoft.Mashup.OleDb.1;Data Source=$Workbook$;Location=الجدول1;Extended Properties=&quot;&quot;" command="SELECT * FROM [الجدول1]"/>
  </connection>
</connections>
</file>

<file path=xl/sharedStrings.xml><?xml version="1.0" encoding="utf-8"?>
<sst xmlns="http://schemas.openxmlformats.org/spreadsheetml/2006/main" count="186" uniqueCount="62">
  <si>
    <t>Order ID</t>
  </si>
  <si>
    <t>Order Date</t>
  </si>
  <si>
    <t>Customer ID</t>
  </si>
  <si>
    <t>Product Name</t>
  </si>
  <si>
    <t>Category</t>
  </si>
  <si>
    <t>Sub-Category</t>
  </si>
  <si>
    <t>Region</t>
  </si>
  <si>
    <t>State</t>
  </si>
  <si>
    <t>Sales</t>
  </si>
  <si>
    <t>Quantity</t>
  </si>
  <si>
    <t>Profit</t>
  </si>
  <si>
    <t>CA-2016-152156</t>
  </si>
  <si>
    <t>CG-12520</t>
  </si>
  <si>
    <t>Binder</t>
  </si>
  <si>
    <t>Office Supplies</t>
  </si>
  <si>
    <t>Binders</t>
  </si>
  <si>
    <t>West</t>
  </si>
  <si>
    <t>California</t>
  </si>
  <si>
    <t>Pen</t>
  </si>
  <si>
    <t>Pens</t>
  </si>
  <si>
    <t>CA-2016-138688</t>
  </si>
  <si>
    <t>DV-13045</t>
  </si>
  <si>
    <t>Desk</t>
  </si>
  <si>
    <t>Furniture</t>
  </si>
  <si>
    <t>Desks</t>
  </si>
  <si>
    <t>East</t>
  </si>
  <si>
    <t>New York</t>
  </si>
  <si>
    <t>US-2015-108966</t>
  </si>
  <si>
    <t>SO-20335</t>
  </si>
  <si>
    <t>Bookcase</t>
  </si>
  <si>
    <t>Bookcases</t>
  </si>
  <si>
    <t>Central</t>
  </si>
  <si>
    <t>Illinois</t>
  </si>
  <si>
    <t>Paper</t>
  </si>
  <si>
    <t>CA-2014-115812</t>
  </si>
  <si>
    <t>BH-11710</t>
  </si>
  <si>
    <t>Chair</t>
  </si>
  <si>
    <t>Chairs</t>
  </si>
  <si>
    <t>New Jersey</t>
  </si>
  <si>
    <t>Labels</t>
  </si>
  <si>
    <t>CA-2017-114412</t>
  </si>
  <si>
    <t>AA-10480</t>
  </si>
  <si>
    <t>Printer</t>
  </si>
  <si>
    <t>Technology</t>
  </si>
  <si>
    <t>Machines</t>
  </si>
  <si>
    <t>US-2016-118983</t>
  </si>
  <si>
    <t>RB-19835</t>
  </si>
  <si>
    <t>Phone</t>
  </si>
  <si>
    <t>Phones</t>
  </si>
  <si>
    <t>SubCat</t>
  </si>
  <si>
    <t>مجموع من Sales</t>
  </si>
  <si>
    <t>الإجمالي الكلي</t>
  </si>
  <si>
    <t>Total Quantity Sold</t>
  </si>
  <si>
    <t>Average Order Value</t>
  </si>
  <si>
    <t>Total Orders</t>
  </si>
  <si>
    <t>Total Sales</t>
  </si>
  <si>
    <t>2014</t>
  </si>
  <si>
    <t>2015</t>
  </si>
  <si>
    <t>2016</t>
  </si>
  <si>
    <t>2017</t>
  </si>
  <si>
    <t>years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</si>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</sst>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pivotButton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</cellXfs>
  <cellStyles count="1">
    <cellStyle name="عادي" xfId="0" builtinId="0"/>
  </cellStyles>
  <dxfs count="430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8"/>
      </font>
    </dxf>
    <dxf>
      <font>
        <sz val="18"/>
      </font>
    </dxf>
    <dxf>
      <font>
        <sz val="18"/>
      </font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[E-commerce_Sales_Data.xlsx]PV!PivotTable5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PV!$D$3</c:f>
              <c:strCache>
                <c:ptCount val="1"/>
                <c:pt idx="0">
                  <c:v>الإجمالي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PV!$C$4:$C$8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PV!$D$4:$D$8</c:f>
              <c:numCache>
                <c:formatCode>General</c:formatCode>
                <c:ptCount val="4"/>
                <c:pt idx="0">
                  <c:v>59</c:v>
                </c:pt>
                <c:pt idx="1">
                  <c:v>137</c:v>
                </c:pt>
                <c:pt idx="2">
                  <c:v>1691</c:v>
                </c:pt>
                <c:pt idx="3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BE-46BA-A000-19EF24B13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020120"/>
        <c:axId val="1030020840"/>
      </c:lineChart>
      <c:catAx>
        <c:axId val="1030020120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30020840"/>
        <c:crosses val="autoZero"/>
        <c:auto val="1"/>
        <c:lblAlgn val="ctr"/>
        <c:lblOffset val="100"/>
        <c:noMultiLvlLbl val="0"/>
      </c:catAx>
      <c:valAx>
        <c:axId val="103002084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30020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[E-commerce_Sales_Data.xlsx]PV!PivotTable6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PV!$I$3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PV!$H$4:$H$7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PV!$I$4:$I$7</c:f>
              <c:numCache>
                <c:formatCode>General</c:formatCode>
                <c:ptCount val="3"/>
                <c:pt idx="0">
                  <c:v>1017</c:v>
                </c:pt>
                <c:pt idx="1">
                  <c:v>430</c:v>
                </c:pt>
                <c:pt idx="2">
                  <c:v>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F-4D3E-9C5A-119514B32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8283296"/>
        <c:axId val="1028574832"/>
      </c:barChart>
      <c:catAx>
        <c:axId val="10282832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28574832"/>
        <c:crosses val="autoZero"/>
        <c:auto val="1"/>
        <c:lblAlgn val="ctr"/>
        <c:lblOffset val="100"/>
        <c:noMultiLvlLbl val="0"/>
      </c:catAx>
      <c:valAx>
        <c:axId val="1028574832"/>
        <c:scaling>
          <c:orientation val="maxMin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2828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[E-commerce_Sales_Data.xlsx]PV!PivotTable7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PV!$N$3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PV!$M$4:$M$8</c:f>
              <c:strCache>
                <c:ptCount val="4"/>
                <c:pt idx="0">
                  <c:v>California</c:v>
                </c:pt>
                <c:pt idx="1">
                  <c:v>Illinois</c:v>
                </c:pt>
                <c:pt idx="2">
                  <c:v>New Jersey</c:v>
                </c:pt>
                <c:pt idx="3">
                  <c:v>New York</c:v>
                </c:pt>
              </c:strCache>
            </c:strRef>
          </c:cat>
          <c:val>
            <c:numRef>
              <c:f>PV!$N$4:$N$8</c:f>
              <c:numCache>
                <c:formatCode>General</c:formatCode>
                <c:ptCount val="4"/>
                <c:pt idx="0">
                  <c:v>958</c:v>
                </c:pt>
                <c:pt idx="1">
                  <c:v>137</c:v>
                </c:pt>
                <c:pt idx="2">
                  <c:v>59</c:v>
                </c:pt>
                <c:pt idx="3">
                  <c:v>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6-4B8A-8A8C-A852BEC7C2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540440"/>
        <c:axId val="1120541160"/>
      </c:barChart>
      <c:catAx>
        <c:axId val="112054044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120541160"/>
        <c:crosses val="autoZero"/>
        <c:auto val="1"/>
        <c:lblAlgn val="ctr"/>
        <c:lblOffset val="100"/>
        <c:noMultiLvlLbl val="0"/>
      </c:catAx>
      <c:valAx>
        <c:axId val="11205411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12054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[E-commerce_Sales_Data.xlsx]PV!PivotTable6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PV!$I$3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PV!$H$4:$H$7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PV!$I$4:$I$7</c:f>
              <c:numCache>
                <c:formatCode>General</c:formatCode>
                <c:ptCount val="3"/>
                <c:pt idx="0">
                  <c:v>1017</c:v>
                </c:pt>
                <c:pt idx="1">
                  <c:v>430</c:v>
                </c:pt>
                <c:pt idx="2">
                  <c:v>1121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B-45B2-9F39-E47DCC380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28283296"/>
        <c:axId val="1028574832"/>
      </c:barChart>
      <c:catAx>
        <c:axId val="10282832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28574832"/>
        <c:crosses val="autoZero"/>
        <c:auto val="1"/>
        <c:lblAlgn val="ctr"/>
        <c:lblOffset val="100"/>
        <c:noMultiLvlLbl val="0"/>
      </c:catAx>
      <c:valAx>
        <c:axId val="10285748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2828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[E-commerce_Sales_Data.xlsx]PV!PivotTable5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PV!$D$3</c:f>
              <c:strCache>
                <c:ptCount val="1"/>
                <c:pt idx="0">
                  <c:v>الإجمالي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strRef>
              <c:f>PV!$C$4:$C$8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PV!$D$4:$D$8</c:f>
              <c:numCache>
                <c:formatCode>General</c:formatCode>
                <c:ptCount val="4"/>
                <c:pt idx="0">
                  <c:v>59</c:v>
                </c:pt>
                <c:pt idx="1">
                  <c:v>137</c:v>
                </c:pt>
                <c:pt idx="2">
                  <c:v>1691</c:v>
                </c:pt>
                <c:pt idx="3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05-4F88-ADCA-031009D58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0020120"/>
        <c:axId val="1030020840"/>
      </c:lineChart>
      <c:catAx>
        <c:axId val="1030020120"/>
        <c:scaling>
          <c:orientation val="maxMin"/>
        </c:scaling>
        <c:delete val="0"/>
        <c:axPos val="b"/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30020840"/>
        <c:crosses val="autoZero"/>
        <c:auto val="1"/>
        <c:lblAlgn val="ctr"/>
        <c:lblOffset val="100"/>
        <c:noMultiLvlLbl val="0"/>
      </c:catAx>
      <c:valAx>
        <c:axId val="1030020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30020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[E-commerce_Sales_Data.xlsx]PV!PivotTable7</c:name>
    <c:fmtId val="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>
              <a:lumMod val="50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PV!$N$3</c:f>
              <c:strCache>
                <c:ptCount val="1"/>
                <c:pt idx="0">
                  <c:v>الإجمالي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</c:spPr>
          <c:invertIfNegative val="0"/>
          <c:cat>
            <c:strRef>
              <c:f>PV!$M$4:$M$8</c:f>
              <c:strCache>
                <c:ptCount val="4"/>
                <c:pt idx="0">
                  <c:v>California</c:v>
                </c:pt>
                <c:pt idx="1">
                  <c:v>Illinois</c:v>
                </c:pt>
                <c:pt idx="2">
                  <c:v>New Jersey</c:v>
                </c:pt>
                <c:pt idx="3">
                  <c:v>New York</c:v>
                </c:pt>
              </c:strCache>
            </c:strRef>
          </c:cat>
          <c:val>
            <c:numRef>
              <c:f>PV!$N$4:$N$8</c:f>
              <c:numCache>
                <c:formatCode>General</c:formatCode>
                <c:ptCount val="4"/>
                <c:pt idx="0">
                  <c:v>958</c:v>
                </c:pt>
                <c:pt idx="1">
                  <c:v>137</c:v>
                </c:pt>
                <c:pt idx="2">
                  <c:v>59</c:v>
                </c:pt>
                <c:pt idx="3">
                  <c:v>1414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6-4C06-9323-C40546FC0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0540440"/>
        <c:axId val="1120541160"/>
      </c:barChart>
      <c:catAx>
        <c:axId val="112054044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120541160"/>
        <c:crosses val="autoZero"/>
        <c:auto val="1"/>
        <c:lblAlgn val="ctr"/>
        <c:lblOffset val="100"/>
        <c:noMultiLvlLbl val="0"/>
      </c:catAx>
      <c:valAx>
        <c:axId val="112054116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120540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hyperlink" Target="https://freepngimg.com/png/25537-stock-market-free-download" TargetMode="External"/><Relationship Id="rId5" Type="http://schemas.microsoft.com/office/2007/relationships/hdphoto" Target="../media/hdphoto1.wdp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758827</xdr:colOff>
      <xdr:row>10</xdr:row>
      <xdr:rowOff>190500</xdr:rowOff>
    </xdr:from>
    <xdr:to>
      <xdr:col>5</xdr:col>
      <xdr:colOff>203200</xdr:colOff>
      <xdr:row>20</xdr:row>
      <xdr:rowOff>25400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163472A-929F-956B-0FCA-F26F34128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336551</xdr:colOff>
      <xdr:row>10</xdr:row>
      <xdr:rowOff>203200</xdr:rowOff>
    </xdr:from>
    <xdr:to>
      <xdr:col>11</xdr:col>
      <xdr:colOff>114300</xdr:colOff>
      <xdr:row>20</xdr:row>
      <xdr:rowOff>50800</xdr:rowOff>
    </xdr:to>
    <xdr:graphicFrame macro="">
      <xdr:nvGraphicFramePr>
        <xdr:cNvPr id="5" name="مخطط 4">
          <a:extLst>
            <a:ext uri="{FF2B5EF4-FFF2-40B4-BE49-F238E27FC236}">
              <a16:creationId xmlns:a16="http://schemas.microsoft.com/office/drawing/2014/main" id="{2A6187B8-1C26-457F-A27E-DD2A1BF81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534989</xdr:colOff>
      <xdr:row>10</xdr:row>
      <xdr:rowOff>215901</xdr:rowOff>
    </xdr:from>
    <xdr:to>
      <xdr:col>15</xdr:col>
      <xdr:colOff>584200</xdr:colOff>
      <xdr:row>20</xdr:row>
      <xdr:rowOff>25400</xdr:rowOff>
    </xdr:to>
    <xdr:graphicFrame macro="">
      <xdr:nvGraphicFramePr>
        <xdr:cNvPr id="6" name="مخطط 5">
          <a:extLst>
            <a:ext uri="{FF2B5EF4-FFF2-40B4-BE49-F238E27FC236}">
              <a16:creationId xmlns:a16="http://schemas.microsoft.com/office/drawing/2014/main" id="{03FEF7ED-3042-423D-9EB9-87F44A0BD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406400</xdr:colOff>
      <xdr:row>0</xdr:row>
      <xdr:rowOff>42333</xdr:rowOff>
    </xdr:from>
    <xdr:to>
      <xdr:col>14</xdr:col>
      <xdr:colOff>0</xdr:colOff>
      <xdr:row>22</xdr:row>
      <xdr:rowOff>112888</xdr:rowOff>
    </xdr:to>
    <xdr:sp macro="" textlink="">
      <xdr:nvSpPr>
        <xdr:cNvPr id="2" name="مستطيل 1">
          <a:extLst>
            <a:ext uri="{FF2B5EF4-FFF2-40B4-BE49-F238E27FC236}">
              <a16:creationId xmlns:a16="http://schemas.microsoft.com/office/drawing/2014/main" id="{75DB062A-9A3A-0F77-A107-621EB80CC292}"/>
            </a:ext>
          </a:extLst>
        </xdr:cNvPr>
        <xdr:cNvSpPr/>
      </xdr:nvSpPr>
      <xdr:spPr>
        <a:xfrm>
          <a:off x="1069622" y="42333"/>
          <a:ext cx="8610600" cy="3951111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1</xdr:col>
      <xdr:colOff>584200</xdr:colOff>
      <xdr:row>1</xdr:row>
      <xdr:rowOff>44450</xdr:rowOff>
    </xdr:from>
    <xdr:to>
      <xdr:col>13</xdr:col>
      <xdr:colOff>412750</xdr:colOff>
      <xdr:row>3</xdr:row>
      <xdr:rowOff>95250</xdr:rowOff>
    </xdr:to>
    <xdr:sp macro="" textlink="">
      <xdr:nvSpPr>
        <xdr:cNvPr id="3" name="مستطيل: زوايا مستديرة 2">
          <a:extLst>
            <a:ext uri="{FF2B5EF4-FFF2-40B4-BE49-F238E27FC236}">
              <a16:creationId xmlns:a16="http://schemas.microsoft.com/office/drawing/2014/main" id="{F2D18823-AD30-FBED-166C-AA06E8D8A71A}"/>
            </a:ext>
          </a:extLst>
        </xdr:cNvPr>
        <xdr:cNvSpPr/>
      </xdr:nvSpPr>
      <xdr:spPr>
        <a:xfrm>
          <a:off x="584200" y="222250"/>
          <a:ext cx="7753350" cy="40640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l"/>
          <a:r>
            <a:rPr lang="en-US" sz="2800" b="1" cap="none" spc="0">
              <a:ln w="12700">
                <a:solidFill>
                  <a:schemeClr val="accent5">
                    <a:lumMod val="50000"/>
                  </a:schemeClr>
                </a:solidFill>
                <a:prstDash val="solid"/>
              </a:ln>
              <a:pattFill prst="ltDnDiag">
                <a:fgClr>
                  <a:schemeClr val="accent5">
                    <a:lumMod val="60000"/>
                    <a:lumOff val="40000"/>
                  </a:schemeClr>
                </a:fgClr>
                <a:bgClr>
                  <a:schemeClr val="bg1"/>
                </a:bgClr>
              </a:pattFill>
              <a:effectLst/>
              <a:cs typeface="+mn-cs"/>
            </a:rPr>
            <a:t>E-commerce Sales Performance Dashboard</a:t>
          </a:r>
          <a:endParaRPr lang="ar-SA" sz="2800" b="1" cap="none" spc="0">
            <a:ln w="12700">
              <a:solidFill>
                <a:schemeClr val="accent5">
                  <a:lumMod val="50000"/>
                </a:schemeClr>
              </a:solidFill>
              <a:prstDash val="solid"/>
            </a:ln>
            <a:pattFill prst="ltDnDiag">
              <a:fgClr>
                <a:schemeClr val="accent5">
                  <a:lumMod val="60000"/>
                  <a:lumOff val="40000"/>
                </a:schemeClr>
              </a:fgClr>
              <a:bgClr>
                <a:schemeClr val="bg1"/>
              </a:bgClr>
            </a:pattFill>
            <a:effectLst/>
            <a:cs typeface="+mn-cs"/>
          </a:endParaRPr>
        </a:p>
      </xdr:txBody>
    </xdr:sp>
    <xdr:clientData/>
  </xdr:twoCellAnchor>
  <xdr:twoCellAnchor>
    <xdr:from>
      <xdr:col>1</xdr:col>
      <xdr:colOff>590550</xdr:colOff>
      <xdr:row>3</xdr:row>
      <xdr:rowOff>171450</xdr:rowOff>
    </xdr:from>
    <xdr:to>
      <xdr:col>4</xdr:col>
      <xdr:colOff>463550</xdr:colOff>
      <xdr:row>5</xdr:row>
      <xdr:rowOff>165100</xdr:rowOff>
    </xdr:to>
    <xdr:sp macro="" textlink="">
      <xdr:nvSpPr>
        <xdr:cNvPr id="4" name="مستطيل: زوايا مستديرة 3">
          <a:extLst>
            <a:ext uri="{FF2B5EF4-FFF2-40B4-BE49-F238E27FC236}">
              <a16:creationId xmlns:a16="http://schemas.microsoft.com/office/drawing/2014/main" id="{08364D25-F1C3-43C3-A080-E876713FCB66}"/>
            </a:ext>
          </a:extLst>
        </xdr:cNvPr>
        <xdr:cNvSpPr/>
      </xdr:nvSpPr>
      <xdr:spPr>
        <a:xfrm>
          <a:off x="590550" y="704850"/>
          <a:ext cx="1854200" cy="3492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4</xdr:col>
      <xdr:colOff>539750</xdr:colOff>
      <xdr:row>4</xdr:row>
      <xdr:rowOff>0</xdr:rowOff>
    </xdr:from>
    <xdr:to>
      <xdr:col>7</xdr:col>
      <xdr:colOff>412750</xdr:colOff>
      <xdr:row>5</xdr:row>
      <xdr:rowOff>171450</xdr:rowOff>
    </xdr:to>
    <xdr:sp macro="" textlink="">
      <xdr:nvSpPr>
        <xdr:cNvPr id="8" name="مستطيل: زوايا مستديرة 7">
          <a:extLst>
            <a:ext uri="{FF2B5EF4-FFF2-40B4-BE49-F238E27FC236}">
              <a16:creationId xmlns:a16="http://schemas.microsoft.com/office/drawing/2014/main" id="{E1BFEF44-DA86-4E9D-87A5-3322DE0867E0}"/>
            </a:ext>
          </a:extLst>
        </xdr:cNvPr>
        <xdr:cNvSpPr/>
      </xdr:nvSpPr>
      <xdr:spPr>
        <a:xfrm>
          <a:off x="2520950" y="711200"/>
          <a:ext cx="1854200" cy="3492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7</xdr:col>
      <xdr:colOff>508000</xdr:colOff>
      <xdr:row>4</xdr:row>
      <xdr:rowOff>6350</xdr:rowOff>
    </xdr:from>
    <xdr:to>
      <xdr:col>10</xdr:col>
      <xdr:colOff>381000</xdr:colOff>
      <xdr:row>6</xdr:row>
      <xdr:rowOff>0</xdr:rowOff>
    </xdr:to>
    <xdr:sp macro="" textlink="">
      <xdr:nvSpPr>
        <xdr:cNvPr id="9" name="مستطيل: زوايا مستديرة 8">
          <a:extLst>
            <a:ext uri="{FF2B5EF4-FFF2-40B4-BE49-F238E27FC236}">
              <a16:creationId xmlns:a16="http://schemas.microsoft.com/office/drawing/2014/main" id="{EC790D83-DEAA-4664-A103-0DE26EFE5F29}"/>
            </a:ext>
          </a:extLst>
        </xdr:cNvPr>
        <xdr:cNvSpPr/>
      </xdr:nvSpPr>
      <xdr:spPr>
        <a:xfrm>
          <a:off x="4470400" y="717550"/>
          <a:ext cx="1854200" cy="3492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10</xdr:col>
      <xdr:colOff>508000</xdr:colOff>
      <xdr:row>4</xdr:row>
      <xdr:rowOff>12700</xdr:rowOff>
    </xdr:from>
    <xdr:to>
      <xdr:col>13</xdr:col>
      <xdr:colOff>381000</xdr:colOff>
      <xdr:row>6</xdr:row>
      <xdr:rowOff>6350</xdr:rowOff>
    </xdr:to>
    <xdr:sp macro="" textlink="">
      <xdr:nvSpPr>
        <xdr:cNvPr id="10" name="مستطيل: زوايا مستديرة 9">
          <a:extLst>
            <a:ext uri="{FF2B5EF4-FFF2-40B4-BE49-F238E27FC236}">
              <a16:creationId xmlns:a16="http://schemas.microsoft.com/office/drawing/2014/main" id="{E2B0DA20-C67F-4C3E-B88F-473DE2888091}"/>
            </a:ext>
          </a:extLst>
        </xdr:cNvPr>
        <xdr:cNvSpPr/>
      </xdr:nvSpPr>
      <xdr:spPr>
        <a:xfrm>
          <a:off x="6451600" y="723900"/>
          <a:ext cx="1854200" cy="3492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1</xdr:col>
      <xdr:colOff>641350</xdr:colOff>
      <xdr:row>6</xdr:row>
      <xdr:rowOff>88900</xdr:rowOff>
    </xdr:from>
    <xdr:to>
      <xdr:col>7</xdr:col>
      <xdr:colOff>387350</xdr:colOff>
      <xdr:row>21</xdr:row>
      <xdr:rowOff>63500</xdr:rowOff>
    </xdr:to>
    <xdr:sp macro="" textlink="">
      <xdr:nvSpPr>
        <xdr:cNvPr id="11" name="مستطيل 10">
          <a:extLst>
            <a:ext uri="{FF2B5EF4-FFF2-40B4-BE49-F238E27FC236}">
              <a16:creationId xmlns:a16="http://schemas.microsoft.com/office/drawing/2014/main" id="{1E3ECF2A-D78D-3935-1950-8B1F4EDD78D8}"/>
            </a:ext>
          </a:extLst>
        </xdr:cNvPr>
        <xdr:cNvSpPr/>
      </xdr:nvSpPr>
      <xdr:spPr>
        <a:xfrm>
          <a:off x="641350" y="1155700"/>
          <a:ext cx="3708400" cy="2641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7</xdr:col>
      <xdr:colOff>514350</xdr:colOff>
      <xdr:row>6</xdr:row>
      <xdr:rowOff>101600</xdr:rowOff>
    </xdr:from>
    <xdr:to>
      <xdr:col>13</xdr:col>
      <xdr:colOff>406400</xdr:colOff>
      <xdr:row>13</xdr:row>
      <xdr:rowOff>82550</xdr:rowOff>
    </xdr:to>
    <xdr:sp macro="" textlink="">
      <xdr:nvSpPr>
        <xdr:cNvPr id="12" name="مستطيل 11">
          <a:extLst>
            <a:ext uri="{FF2B5EF4-FFF2-40B4-BE49-F238E27FC236}">
              <a16:creationId xmlns:a16="http://schemas.microsoft.com/office/drawing/2014/main" id="{42447C6D-A012-4AA4-9AC4-4147CD937EBC}"/>
            </a:ext>
          </a:extLst>
        </xdr:cNvPr>
        <xdr:cNvSpPr/>
      </xdr:nvSpPr>
      <xdr:spPr>
        <a:xfrm>
          <a:off x="4476750" y="1168400"/>
          <a:ext cx="3854450" cy="12255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7</xdr:col>
      <xdr:colOff>508000</xdr:colOff>
      <xdr:row>13</xdr:row>
      <xdr:rowOff>165100</xdr:rowOff>
    </xdr:from>
    <xdr:to>
      <xdr:col>13</xdr:col>
      <xdr:colOff>400050</xdr:colOff>
      <xdr:row>21</xdr:row>
      <xdr:rowOff>63500</xdr:rowOff>
    </xdr:to>
    <xdr:sp macro="" textlink="">
      <xdr:nvSpPr>
        <xdr:cNvPr id="13" name="مستطيل 12">
          <a:extLst>
            <a:ext uri="{FF2B5EF4-FFF2-40B4-BE49-F238E27FC236}">
              <a16:creationId xmlns:a16="http://schemas.microsoft.com/office/drawing/2014/main" id="{AF7F230C-101A-431F-9E59-C8B9CDFC4E3F}"/>
            </a:ext>
          </a:extLst>
        </xdr:cNvPr>
        <xdr:cNvSpPr/>
      </xdr:nvSpPr>
      <xdr:spPr>
        <a:xfrm>
          <a:off x="4470400" y="2476500"/>
          <a:ext cx="3854450" cy="1320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1</xdr:col>
      <xdr:colOff>635000</xdr:colOff>
      <xdr:row>4</xdr:row>
      <xdr:rowOff>25400</xdr:rowOff>
    </xdr:from>
    <xdr:to>
      <xdr:col>3</xdr:col>
      <xdr:colOff>190500</xdr:colOff>
      <xdr:row>5</xdr:row>
      <xdr:rowOff>95250</xdr:rowOff>
    </xdr:to>
    <xdr:sp macro="" textlink="">
      <xdr:nvSpPr>
        <xdr:cNvPr id="18" name="مستطيل: زوايا مستديرة 17">
          <a:extLst>
            <a:ext uri="{FF2B5EF4-FFF2-40B4-BE49-F238E27FC236}">
              <a16:creationId xmlns:a16="http://schemas.microsoft.com/office/drawing/2014/main" id="{D75BAE6F-F1CD-45CF-A2B7-A90CDD7DC317}"/>
            </a:ext>
          </a:extLst>
        </xdr:cNvPr>
        <xdr:cNvSpPr/>
      </xdr:nvSpPr>
      <xdr:spPr>
        <a:xfrm>
          <a:off x="635000" y="736600"/>
          <a:ext cx="876300" cy="2476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Total Sales</a:t>
          </a:r>
          <a:endParaRPr lang="ar-SA" sz="1000" b="1">
            <a:solidFill>
              <a:schemeClr val="accent1">
                <a:lumMod val="50000"/>
              </a:schemeClr>
            </a:solidFill>
            <a:cs typeface="+mn-cs"/>
          </a:endParaRPr>
        </a:p>
      </xdr:txBody>
    </xdr:sp>
    <xdr:clientData/>
  </xdr:twoCellAnchor>
  <xdr:twoCellAnchor>
    <xdr:from>
      <xdr:col>4</xdr:col>
      <xdr:colOff>558800</xdr:colOff>
      <xdr:row>4</xdr:row>
      <xdr:rowOff>25400</xdr:rowOff>
    </xdr:from>
    <xdr:to>
      <xdr:col>6</xdr:col>
      <xdr:colOff>133350</xdr:colOff>
      <xdr:row>5</xdr:row>
      <xdr:rowOff>107950</xdr:rowOff>
    </xdr:to>
    <xdr:sp macro="" textlink="">
      <xdr:nvSpPr>
        <xdr:cNvPr id="19" name="مستطيل: زوايا مستديرة 18">
          <a:extLst>
            <a:ext uri="{FF2B5EF4-FFF2-40B4-BE49-F238E27FC236}">
              <a16:creationId xmlns:a16="http://schemas.microsoft.com/office/drawing/2014/main" id="{465CA2EA-67D3-41FE-8D7E-D78905660542}"/>
            </a:ext>
          </a:extLst>
        </xdr:cNvPr>
        <xdr:cNvSpPr/>
      </xdr:nvSpPr>
      <xdr:spPr>
        <a:xfrm>
          <a:off x="2540000" y="736600"/>
          <a:ext cx="895350" cy="2603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Total Orders</a:t>
          </a:r>
          <a:endParaRPr lang="ar-SA" sz="1000" b="1">
            <a:solidFill>
              <a:schemeClr val="accent1">
                <a:lumMod val="50000"/>
              </a:schemeClr>
            </a:solidFill>
            <a:cs typeface="+mn-cs"/>
          </a:endParaRPr>
        </a:p>
      </xdr:txBody>
    </xdr:sp>
    <xdr:clientData/>
  </xdr:twoCellAnchor>
  <xdr:twoCellAnchor>
    <xdr:from>
      <xdr:col>7</xdr:col>
      <xdr:colOff>514350</xdr:colOff>
      <xdr:row>4</xdr:row>
      <xdr:rowOff>12700</xdr:rowOff>
    </xdr:from>
    <xdr:to>
      <xdr:col>9</xdr:col>
      <xdr:colOff>501650</xdr:colOff>
      <xdr:row>5</xdr:row>
      <xdr:rowOff>171450</xdr:rowOff>
    </xdr:to>
    <xdr:sp macro="" textlink="">
      <xdr:nvSpPr>
        <xdr:cNvPr id="20" name="مستطيل: زوايا مستديرة 19">
          <a:extLst>
            <a:ext uri="{FF2B5EF4-FFF2-40B4-BE49-F238E27FC236}">
              <a16:creationId xmlns:a16="http://schemas.microsoft.com/office/drawing/2014/main" id="{1F1AD158-1DEA-486C-91D8-40160AD1D4FF}"/>
            </a:ext>
          </a:extLst>
        </xdr:cNvPr>
        <xdr:cNvSpPr/>
      </xdr:nvSpPr>
      <xdr:spPr>
        <a:xfrm>
          <a:off x="4476750" y="723900"/>
          <a:ext cx="1308100" cy="3365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Average Order Value</a:t>
          </a:r>
          <a:endParaRPr lang="ar-SA" sz="1000" b="1">
            <a:solidFill>
              <a:schemeClr val="accent1">
                <a:lumMod val="50000"/>
              </a:schemeClr>
            </a:solidFill>
            <a:cs typeface="+mn-cs"/>
          </a:endParaRPr>
        </a:p>
      </xdr:txBody>
    </xdr:sp>
    <xdr:clientData/>
  </xdr:twoCellAnchor>
  <xdr:twoCellAnchor>
    <xdr:from>
      <xdr:col>10</xdr:col>
      <xdr:colOff>508000</xdr:colOff>
      <xdr:row>4</xdr:row>
      <xdr:rowOff>6350</xdr:rowOff>
    </xdr:from>
    <xdr:to>
      <xdr:col>12</xdr:col>
      <xdr:colOff>450850</xdr:colOff>
      <xdr:row>5</xdr:row>
      <xdr:rowOff>139700</xdr:rowOff>
    </xdr:to>
    <xdr:sp macro="" textlink="">
      <xdr:nvSpPr>
        <xdr:cNvPr id="21" name="مستطيل: زوايا مستديرة 20">
          <a:extLst>
            <a:ext uri="{FF2B5EF4-FFF2-40B4-BE49-F238E27FC236}">
              <a16:creationId xmlns:a16="http://schemas.microsoft.com/office/drawing/2014/main" id="{A9A14181-1F43-42C0-9BD0-86A1333E6F32}"/>
            </a:ext>
          </a:extLst>
        </xdr:cNvPr>
        <xdr:cNvSpPr/>
      </xdr:nvSpPr>
      <xdr:spPr>
        <a:xfrm>
          <a:off x="6451600" y="717550"/>
          <a:ext cx="1263650" cy="3111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Total Quantity Sold</a:t>
          </a:r>
          <a:endParaRPr lang="ar-SA" sz="1000" b="1">
            <a:solidFill>
              <a:schemeClr val="accent1">
                <a:lumMod val="50000"/>
              </a:schemeClr>
            </a:solidFill>
            <a:cs typeface="+mn-cs"/>
          </a:endParaRPr>
        </a:p>
      </xdr:txBody>
    </xdr:sp>
    <xdr:clientData/>
  </xdr:twoCellAnchor>
  <xdr:twoCellAnchor>
    <xdr:from>
      <xdr:col>7</xdr:col>
      <xdr:colOff>558800</xdr:colOff>
      <xdr:row>6</xdr:row>
      <xdr:rowOff>133350</xdr:rowOff>
    </xdr:from>
    <xdr:to>
      <xdr:col>9</xdr:col>
      <xdr:colOff>387350</xdr:colOff>
      <xdr:row>8</xdr:row>
      <xdr:rowOff>12700</xdr:rowOff>
    </xdr:to>
    <xdr:sp macro="" textlink="">
      <xdr:nvSpPr>
        <xdr:cNvPr id="25" name="مستطيل: زوايا مستديرة 24">
          <a:extLst>
            <a:ext uri="{FF2B5EF4-FFF2-40B4-BE49-F238E27FC236}">
              <a16:creationId xmlns:a16="http://schemas.microsoft.com/office/drawing/2014/main" id="{EA97BA0B-DB04-45C2-8DB8-06CF83FE5455}"/>
            </a:ext>
          </a:extLst>
        </xdr:cNvPr>
        <xdr:cNvSpPr/>
      </xdr:nvSpPr>
      <xdr:spPr>
        <a:xfrm>
          <a:off x="4521200" y="1200150"/>
          <a:ext cx="1149350" cy="23495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Sales by</a:t>
          </a:r>
          <a:r>
            <a:rPr lang="en-US" sz="1000" b="1" baseline="0">
              <a:solidFill>
                <a:schemeClr val="accent1">
                  <a:lumMod val="50000"/>
                </a:schemeClr>
              </a:solidFill>
              <a:cs typeface="+mn-cs"/>
            </a:rPr>
            <a:t> Category</a:t>
          </a:r>
          <a:endParaRPr lang="en-US" sz="1000" b="1">
            <a:solidFill>
              <a:schemeClr val="accent1">
                <a:lumMod val="50000"/>
              </a:schemeClr>
            </a:solidFill>
            <a:cs typeface="+mn-cs"/>
          </a:endParaRPr>
        </a:p>
      </xdr:txBody>
    </xdr:sp>
    <xdr:clientData/>
  </xdr:twoCellAnchor>
  <xdr:twoCellAnchor>
    <xdr:from>
      <xdr:col>7</xdr:col>
      <xdr:colOff>539750</xdr:colOff>
      <xdr:row>7</xdr:row>
      <xdr:rowOff>133350</xdr:rowOff>
    </xdr:from>
    <xdr:to>
      <xdr:col>13</xdr:col>
      <xdr:colOff>311149</xdr:colOff>
      <xdr:row>13</xdr:row>
      <xdr:rowOff>50800</xdr:rowOff>
    </xdr:to>
    <xdr:graphicFrame macro="">
      <xdr:nvGraphicFramePr>
        <xdr:cNvPr id="28" name="مخطط 27">
          <a:extLst>
            <a:ext uri="{FF2B5EF4-FFF2-40B4-BE49-F238E27FC236}">
              <a16:creationId xmlns:a16="http://schemas.microsoft.com/office/drawing/2014/main" id="{779B5680-709E-42F9-94F1-F1B5894FC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15</xdr:row>
      <xdr:rowOff>38100</xdr:rowOff>
    </xdr:from>
    <xdr:to>
      <xdr:col>13</xdr:col>
      <xdr:colOff>317500</xdr:colOff>
      <xdr:row>21</xdr:row>
      <xdr:rowOff>6350</xdr:rowOff>
    </xdr:to>
    <xdr:graphicFrame macro="">
      <xdr:nvGraphicFramePr>
        <xdr:cNvPr id="29" name="مخطط 28">
          <a:extLst>
            <a:ext uri="{FF2B5EF4-FFF2-40B4-BE49-F238E27FC236}">
              <a16:creationId xmlns:a16="http://schemas.microsoft.com/office/drawing/2014/main" id="{290B5EAB-EA34-4910-BB9A-231DD7B9E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654050</xdr:colOff>
      <xdr:row>6</xdr:row>
      <xdr:rowOff>95250</xdr:rowOff>
    </xdr:from>
    <xdr:to>
      <xdr:col>3</xdr:col>
      <xdr:colOff>368300</xdr:colOff>
      <xdr:row>7</xdr:row>
      <xdr:rowOff>158750</xdr:rowOff>
    </xdr:to>
    <xdr:sp macro="" textlink="">
      <xdr:nvSpPr>
        <xdr:cNvPr id="30" name="مستطيل: زوايا مستديرة 29">
          <a:extLst>
            <a:ext uri="{FF2B5EF4-FFF2-40B4-BE49-F238E27FC236}">
              <a16:creationId xmlns:a16="http://schemas.microsoft.com/office/drawing/2014/main" id="{0A6420FE-043D-4FD8-A87A-06BBB2E1F1F5}"/>
            </a:ext>
          </a:extLst>
        </xdr:cNvPr>
        <xdr:cNvSpPr/>
      </xdr:nvSpPr>
      <xdr:spPr>
        <a:xfrm>
          <a:off x="654050" y="1162050"/>
          <a:ext cx="1035050" cy="24130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Sales by</a:t>
          </a:r>
          <a:r>
            <a:rPr lang="en-US" sz="1000" b="1" baseline="0">
              <a:solidFill>
                <a:schemeClr val="accent1">
                  <a:lumMod val="50000"/>
                </a:schemeClr>
              </a:solidFill>
              <a:cs typeface="+mn-cs"/>
            </a:rPr>
            <a:t> </a:t>
          </a:r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State</a:t>
          </a:r>
        </a:p>
      </xdr:txBody>
    </xdr:sp>
    <xdr:clientData/>
  </xdr:twoCellAnchor>
  <xdr:twoCellAnchor>
    <xdr:from>
      <xdr:col>7</xdr:col>
      <xdr:colOff>508000</xdr:colOff>
      <xdr:row>13</xdr:row>
      <xdr:rowOff>165100</xdr:rowOff>
    </xdr:from>
    <xdr:to>
      <xdr:col>9</xdr:col>
      <xdr:colOff>254000</xdr:colOff>
      <xdr:row>15</xdr:row>
      <xdr:rowOff>12700</xdr:rowOff>
    </xdr:to>
    <xdr:sp macro="" textlink="">
      <xdr:nvSpPr>
        <xdr:cNvPr id="31" name="مستطيل: زوايا مستديرة 30">
          <a:extLst>
            <a:ext uri="{FF2B5EF4-FFF2-40B4-BE49-F238E27FC236}">
              <a16:creationId xmlns:a16="http://schemas.microsoft.com/office/drawing/2014/main" id="{FF0DD5B0-5603-41F1-B6F6-8DEE01A1181E}"/>
            </a:ext>
          </a:extLst>
        </xdr:cNvPr>
        <xdr:cNvSpPr/>
      </xdr:nvSpPr>
      <xdr:spPr>
        <a:xfrm>
          <a:off x="4470400" y="2476500"/>
          <a:ext cx="1066800" cy="203200"/>
        </a:xfrm>
        <a:prstGeom prst="roundRect">
          <a:avLst>
            <a:gd name="adj" fmla="val 6818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/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Sales by</a:t>
          </a:r>
          <a:r>
            <a:rPr lang="en-US" sz="1000" b="1" baseline="0">
              <a:solidFill>
                <a:schemeClr val="accent1">
                  <a:lumMod val="50000"/>
                </a:schemeClr>
              </a:solidFill>
              <a:cs typeface="+mn-cs"/>
            </a:rPr>
            <a:t> </a:t>
          </a:r>
          <a:r>
            <a:rPr lang="en-US" sz="1000" b="1">
              <a:solidFill>
                <a:schemeClr val="accent1">
                  <a:lumMod val="50000"/>
                </a:schemeClr>
              </a:solidFill>
              <a:cs typeface="+mn-cs"/>
            </a:rPr>
            <a:t>year</a:t>
          </a:r>
        </a:p>
      </xdr:txBody>
    </xdr:sp>
    <xdr:clientData/>
  </xdr:twoCellAnchor>
  <xdr:twoCellAnchor>
    <xdr:from>
      <xdr:col>2</xdr:col>
      <xdr:colOff>12701</xdr:colOff>
      <xdr:row>9</xdr:row>
      <xdr:rowOff>25401</xdr:rowOff>
    </xdr:from>
    <xdr:to>
      <xdr:col>7</xdr:col>
      <xdr:colOff>342901</xdr:colOff>
      <xdr:row>20</xdr:row>
      <xdr:rowOff>57151</xdr:rowOff>
    </xdr:to>
    <xdr:graphicFrame macro="">
      <xdr:nvGraphicFramePr>
        <xdr:cNvPr id="32" name="مخطط 31">
          <a:extLst>
            <a:ext uri="{FF2B5EF4-FFF2-40B4-BE49-F238E27FC236}">
              <a16:creationId xmlns:a16="http://schemas.microsoft.com/office/drawing/2014/main" id="{43FE8446-2897-4C5D-B555-AE7759E5A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243966</xdr:colOff>
      <xdr:row>4</xdr:row>
      <xdr:rowOff>19050</xdr:rowOff>
    </xdr:from>
    <xdr:to>
      <xdr:col>4</xdr:col>
      <xdr:colOff>380999</xdr:colOff>
      <xdr:row>5</xdr:row>
      <xdr:rowOff>133350</xdr:rowOff>
    </xdr:to>
    <xdr:sp macro="" textlink="P2">
      <xdr:nvSpPr>
        <xdr:cNvPr id="41" name="مربع نص 40">
          <a:extLst>
            <a:ext uri="{FF2B5EF4-FFF2-40B4-BE49-F238E27FC236}">
              <a16:creationId xmlns:a16="http://schemas.microsoft.com/office/drawing/2014/main" id="{F354C108-E397-F67C-3483-20486482F078}"/>
            </a:ext>
          </a:extLst>
        </xdr:cNvPr>
        <xdr:cNvSpPr txBox="1"/>
      </xdr:nvSpPr>
      <xdr:spPr>
        <a:xfrm>
          <a:off x="1564766" y="730250"/>
          <a:ext cx="797433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/>
          <a:fld id="{ACB183E4-436C-4ACD-A5B6-8FDE67430D85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Arial"/>
              <a:cs typeface="Arial"/>
            </a:rPr>
            <a:pPr algn="ctr"/>
            <a:t>2568</a:t>
          </a:fld>
          <a:endParaRPr lang="en-US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155066</xdr:colOff>
      <xdr:row>4</xdr:row>
      <xdr:rowOff>19050</xdr:rowOff>
    </xdr:from>
    <xdr:to>
      <xdr:col>7</xdr:col>
      <xdr:colOff>292099</xdr:colOff>
      <xdr:row>5</xdr:row>
      <xdr:rowOff>133350</xdr:rowOff>
    </xdr:to>
    <xdr:sp macro="" textlink="P3">
      <xdr:nvSpPr>
        <xdr:cNvPr id="42" name="مربع نص 41">
          <a:extLst>
            <a:ext uri="{FF2B5EF4-FFF2-40B4-BE49-F238E27FC236}">
              <a16:creationId xmlns:a16="http://schemas.microsoft.com/office/drawing/2014/main" id="{AD1D8B11-A790-47BE-B5CA-FBE7564BDA6D}"/>
            </a:ext>
          </a:extLst>
        </xdr:cNvPr>
        <xdr:cNvSpPr txBox="1"/>
      </xdr:nvSpPr>
      <xdr:spPr>
        <a:xfrm>
          <a:off x="3457066" y="730250"/>
          <a:ext cx="797433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/>
          <a:fld id="{71B85EA2-1050-432F-B796-13BFB571A2D9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Arial"/>
              <a:cs typeface="Arial"/>
            </a:rPr>
            <a:pPr algn="ctr"/>
            <a:t>10</a:t>
          </a:fld>
          <a:endParaRPr lang="en-US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444500</xdr:colOff>
      <xdr:row>4</xdr:row>
      <xdr:rowOff>44450</xdr:rowOff>
    </xdr:from>
    <xdr:to>
      <xdr:col>10</xdr:col>
      <xdr:colOff>361950</xdr:colOff>
      <xdr:row>5</xdr:row>
      <xdr:rowOff>158750</xdr:rowOff>
    </xdr:to>
    <xdr:sp macro="" textlink="P4">
      <xdr:nvSpPr>
        <xdr:cNvPr id="43" name="مربع نص 42">
          <a:extLst>
            <a:ext uri="{FF2B5EF4-FFF2-40B4-BE49-F238E27FC236}">
              <a16:creationId xmlns:a16="http://schemas.microsoft.com/office/drawing/2014/main" id="{C17695FE-3656-4294-96C4-8826709CD517}"/>
            </a:ext>
          </a:extLst>
        </xdr:cNvPr>
        <xdr:cNvSpPr txBox="1"/>
      </xdr:nvSpPr>
      <xdr:spPr>
        <a:xfrm>
          <a:off x="5727700" y="755650"/>
          <a:ext cx="57785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/>
          <a:fld id="{3193DAEE-EB20-4CC7-BE2E-D4B1C10C9C6E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Arial"/>
              <a:cs typeface="Arial"/>
            </a:rPr>
            <a:pPr algn="ctr"/>
            <a:t>256.8</a:t>
          </a:fld>
          <a:endParaRPr lang="en-US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>
    <xdr:from>
      <xdr:col>12</xdr:col>
      <xdr:colOff>450850</xdr:colOff>
      <xdr:row>4</xdr:row>
      <xdr:rowOff>44450</xdr:rowOff>
    </xdr:from>
    <xdr:to>
      <xdr:col>13</xdr:col>
      <xdr:colOff>368300</xdr:colOff>
      <xdr:row>5</xdr:row>
      <xdr:rowOff>158750</xdr:rowOff>
    </xdr:to>
    <xdr:sp macro="" textlink="P5">
      <xdr:nvSpPr>
        <xdr:cNvPr id="45" name="مربع نص 44">
          <a:extLst>
            <a:ext uri="{FF2B5EF4-FFF2-40B4-BE49-F238E27FC236}">
              <a16:creationId xmlns:a16="http://schemas.microsoft.com/office/drawing/2014/main" id="{2FD178F1-16E9-4495-A446-15D341B7C82F}"/>
            </a:ext>
          </a:extLst>
        </xdr:cNvPr>
        <xdr:cNvSpPr txBox="1"/>
      </xdr:nvSpPr>
      <xdr:spPr>
        <a:xfrm>
          <a:off x="7715250" y="755650"/>
          <a:ext cx="577850" cy="292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/>
          <a:fld id="{A9E8BE1D-C65D-4E24-B162-0041F9B2E650}" type="TxLink">
            <a:rPr lang="en-US" sz="1000" b="1" i="0" u="none" strike="noStrike">
              <a:solidFill>
                <a:schemeClr val="accent1">
                  <a:lumMod val="50000"/>
                </a:schemeClr>
              </a:solidFill>
              <a:latin typeface="Arial"/>
              <a:cs typeface="Arial"/>
            </a:rPr>
            <a:pPr algn="ctr"/>
            <a:t>32</a:t>
          </a:fld>
          <a:endParaRPr lang="en-US" sz="1000" b="1">
            <a:solidFill>
              <a:schemeClr val="accent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12</xdr:col>
      <xdr:colOff>81141</xdr:colOff>
      <xdr:row>1</xdr:row>
      <xdr:rowOff>40569</xdr:rowOff>
    </xdr:from>
    <xdr:to>
      <xdr:col>13</xdr:col>
      <xdr:colOff>52919</xdr:colOff>
      <xdr:row>3</xdr:row>
      <xdr:rowOff>88883</xdr:rowOff>
    </xdr:to>
    <xdr:pic>
      <xdr:nvPicPr>
        <xdr:cNvPr id="50" name="صورة 49">
          <a:extLst>
            <a:ext uri="{FF2B5EF4-FFF2-40B4-BE49-F238E27FC236}">
              <a16:creationId xmlns:a16="http://schemas.microsoft.com/office/drawing/2014/main" id="{92193236-5686-CB54-DA8D-79FA12916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artisticCement/>
                  </a14:imgEffect>
                  <a14:imgEffect>
                    <a14:brightnessContrast bright="-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8415516" y="220486"/>
          <a:ext cx="633236" cy="408147"/>
        </a:xfrm>
        <a:prstGeom prst="rect">
          <a:avLst/>
        </a:prstGeom>
      </xdr:spPr>
    </xdr:pic>
    <xdr:clientData/>
  </xdr:twoCellAnchor>
  <xdr:twoCellAnchor>
    <xdr:from>
      <xdr:col>1</xdr:col>
      <xdr:colOff>611011</xdr:colOff>
      <xdr:row>21</xdr:row>
      <xdr:rowOff>63500</xdr:rowOff>
    </xdr:from>
    <xdr:to>
      <xdr:col>3</xdr:col>
      <xdr:colOff>42333</xdr:colOff>
      <xdr:row>22</xdr:row>
      <xdr:rowOff>112888</xdr:rowOff>
    </xdr:to>
    <xdr:sp macro="" textlink="">
      <xdr:nvSpPr>
        <xdr:cNvPr id="5" name="مربع نص 4">
          <a:extLst>
            <a:ext uri="{FF2B5EF4-FFF2-40B4-BE49-F238E27FC236}">
              <a16:creationId xmlns:a16="http://schemas.microsoft.com/office/drawing/2014/main" id="{B658176D-068E-8950-A31E-2235A4091A59}"/>
            </a:ext>
          </a:extLst>
        </xdr:cNvPr>
        <xdr:cNvSpPr txBox="1"/>
      </xdr:nvSpPr>
      <xdr:spPr>
        <a:xfrm>
          <a:off x="1274233" y="3767667"/>
          <a:ext cx="1152878" cy="2257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Arabic Typesetting" panose="03020402040406030203" pitchFamily="66" charset="-78"/>
              <a:cs typeface="Arabic Typesetting" panose="03020402040406030203" pitchFamily="66" charset="-78"/>
            </a:rPr>
            <a:t>shoroq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Arabic Typesetting" panose="03020402040406030203" pitchFamily="66" charset="-78"/>
              <a:cs typeface="Arabic Typesetting" panose="03020402040406030203" pitchFamily="66" charset="-78"/>
            </a:rPr>
            <a:t> alosaimi</a:t>
          </a:r>
          <a:endParaRPr lang="ar-SA" sz="1600" b="1">
            <a:solidFill>
              <a:schemeClr val="accent1">
                <a:lumMod val="50000"/>
              </a:schemeClr>
            </a:solidFill>
            <a:latin typeface="Arabic Typesetting" panose="03020402040406030203" pitchFamily="66" charset="-78"/>
            <a:cs typeface="Arabic Typesetting" panose="03020402040406030203" pitchFamily="66" charset="-78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06.508910879631" createdVersion="8" refreshedVersion="8" minRefreshableVersion="3" recordCount="10" xr:uid="{272D5A09-BBE6-47AE-B3CD-D5F48B8E34DE}">
  <cacheSource type="worksheet">
    <worksheetSource name="الجدول1_1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14-09-06T00:00:00" maxDate="2017-02-05T00:00:00" count="6">
        <d v="2016-08-11T00:00:00"/>
        <d v="2016-12-06T00:00:00"/>
        <d v="2015-11-10T00:00:00"/>
        <d v="2014-09-06T00:00:00"/>
        <d v="2017-02-04T00:00:00"/>
        <d v="2016-12-07T00:00:00"/>
      </sharedItems>
      <fieldGroup par="13"/>
    </cacheField>
    <cacheField name="Customer ID" numFmtId="0">
      <sharedItems/>
    </cacheField>
    <cacheField name="Product Name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Cat" numFmtId="0">
      <sharedItems/>
    </cacheField>
    <cacheField name="Region" numFmtId="0">
      <sharedItems/>
    </cacheField>
    <cacheField name="State" numFmtId="0">
      <sharedItems count="4">
        <s v="California"/>
        <s v="New York"/>
        <s v="Illinois"/>
        <s v="New Jersey"/>
      </sharedItems>
    </cacheField>
    <cacheField name="Sales" numFmtId="0">
      <sharedItems containsSemiMixedTypes="0" containsString="0" containsNumber="1" containsInteger="1" minValue="15" maxValue="958"/>
    </cacheField>
    <cacheField name="Quantity" numFmtId="0">
      <sharedItems containsSemiMixedTypes="0" containsString="0" containsNumber="1" containsInteger="1" minValue="2" maxValue="5"/>
    </cacheField>
    <cacheField name="Profit" numFmtId="0">
      <sharedItems containsSemiMixedTypes="0" containsString="0" containsNumber="1" containsInteger="1" minValue="2" maxValue="249"/>
    </cacheField>
    <cacheField name="الشهور (Order Date)" numFmtId="0" databaseField="0">
      <fieldGroup base="1">
        <rangePr groupBy="months" startDate="2014-09-06T00:00:00" endDate="2017-02-05T00:00:00"/>
        <groupItems count="14">
          <s v="&lt;06/09/14"/>
          <s v="يناير"/>
          <s v="فبراير"/>
          <s v="مارس"/>
          <s v="أبريل"/>
          <s v="مايو"/>
          <s v="يونيو"/>
          <s v="يوليو"/>
          <s v="أغسطس"/>
          <s v="سبتمبر"/>
          <s v="أكتوبر"/>
          <s v="نوفمبر"/>
          <s v="ديسمبر"/>
          <s v="&gt;05/02/17"/>
        </groupItems>
      </fieldGroup>
    </cacheField>
    <cacheField name="الفترات الربع سنوية (Order Date)" numFmtId="0" databaseField="0">
      <fieldGroup base="1">
        <rangePr groupBy="quarters" startDate="2014-09-06T00:00:00" endDate="2017-02-05T00:00:00"/>
        <groupItems count="6">
          <s v="&lt;06/09/14"/>
          <s v="ربع1"/>
          <s v="ربع2"/>
          <s v="ربع3"/>
          <s v="ربع4"/>
          <s v="&gt;05/02/17"/>
        </groupItems>
      </fieldGroup>
    </cacheField>
    <cacheField name="السنوات (Order Date)" numFmtId="0" databaseField="0">
      <fieldGroup base="1">
        <rangePr groupBy="years" startDate="2014-09-06T00:00:00" endDate="2017-02-05T00:00:00"/>
        <groupItems count="6">
          <s v="&lt;06/09/14"/>
          <s v="2014"/>
          <s v="2015"/>
          <s v="2016"/>
          <s v="2017"/>
          <s v="&gt;05/02/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A-2016-152156"/>
    <x v="0"/>
    <s v="CG-12520"/>
    <s v="Binder"/>
    <x v="0"/>
    <s v="Binders"/>
    <s v="West"/>
    <x v="0"/>
    <n v="262"/>
    <n v="2"/>
    <n v="42"/>
  </r>
  <r>
    <s v="CA-2016-152156"/>
    <x v="0"/>
    <s v="CG-12520"/>
    <s v="Pen"/>
    <x v="0"/>
    <s v="Pens"/>
    <s v="West"/>
    <x v="0"/>
    <n v="15"/>
    <n v="3"/>
    <n v="7"/>
  </r>
  <r>
    <s v="CA-2016-138688"/>
    <x v="1"/>
    <s v="DV-13045"/>
    <s v="Desk"/>
    <x v="1"/>
    <s v="Desks"/>
    <s v="East"/>
    <x v="1"/>
    <n v="958"/>
    <n v="5"/>
    <n v="193"/>
  </r>
  <r>
    <s v="US-2015-108966"/>
    <x v="2"/>
    <s v="SO-20335"/>
    <s v="Bookcase"/>
    <x v="1"/>
    <s v="Bookcases"/>
    <s v="Central"/>
    <x v="2"/>
    <n v="22"/>
    <n v="2"/>
    <n v="2"/>
  </r>
  <r>
    <s v="US-2015-108966"/>
    <x v="2"/>
    <s v="SO-20335"/>
    <s v="Paper"/>
    <x v="0"/>
    <s v="Paper"/>
    <s v="Central"/>
    <x v="2"/>
    <n v="115"/>
    <n v="3"/>
    <n v="35"/>
  </r>
  <r>
    <s v="CA-2014-115812"/>
    <x v="3"/>
    <s v="BH-11710"/>
    <s v="Chair"/>
    <x v="1"/>
    <s v="Chairs"/>
    <s v="East"/>
    <x v="3"/>
    <n v="37"/>
    <n v="5"/>
    <n v="20"/>
  </r>
  <r>
    <s v="CA-2014-115812"/>
    <x v="3"/>
    <s v="BH-11710"/>
    <s v="Labels"/>
    <x v="0"/>
    <s v="Labels"/>
    <s v="East"/>
    <x v="3"/>
    <n v="22"/>
    <n v="2"/>
    <n v="8"/>
  </r>
  <r>
    <s v="CA-2017-114412"/>
    <x v="4"/>
    <s v="AA-10480"/>
    <s v="Printer"/>
    <x v="2"/>
    <s v="Machines"/>
    <s v="West"/>
    <x v="0"/>
    <n v="665"/>
    <n v="3"/>
    <n v="249"/>
  </r>
  <r>
    <s v="CA-2017-114412"/>
    <x v="4"/>
    <s v="AA-10480"/>
    <s v="Paper"/>
    <x v="0"/>
    <s v="Paper"/>
    <s v="West"/>
    <x v="0"/>
    <n v="16"/>
    <n v="2"/>
    <n v="6"/>
  </r>
  <r>
    <s v="US-2016-118983"/>
    <x v="5"/>
    <s v="RB-19835"/>
    <s v="Phone"/>
    <x v="2"/>
    <s v="Phones"/>
    <s v="East"/>
    <x v="1"/>
    <n v="456"/>
    <n v="5"/>
    <n v="1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BBD87-6F60-4602-A8D7-F1C14896E8D6}" name="PivotTable2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6:A7" firstHeaderRow="1" firstDataRow="1" firstDataCol="0"/>
  <pivotFields count="14">
    <pivotField dataField="1" showAll="0"/>
    <pivotField numFmtId="14" showAll="0">
      <items count="7">
        <item x="3"/>
        <item x="2"/>
        <item x="0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Orders" fld="0" subtotal="count" baseField="0" baseItem="0"/>
  </dataFields>
  <formats count="12">
    <format dxfId="336">
      <pivotArea type="all" dataOnly="0" outline="0" fieldPosition="0"/>
    </format>
    <format dxfId="335">
      <pivotArea outline="0" collapsedLevelsAreSubtotals="1" fieldPosition="0"/>
    </format>
    <format dxfId="334">
      <pivotArea dataOnly="0" labelOnly="1" outline="0" axis="axisValues" fieldPosition="0"/>
    </format>
    <format dxfId="333">
      <pivotArea type="all" dataOnly="0" outline="0" fieldPosition="0"/>
    </format>
    <format dxfId="332">
      <pivotArea outline="0" collapsedLevelsAreSubtotals="1" fieldPosition="0"/>
    </format>
    <format dxfId="331">
      <pivotArea dataOnly="0" labelOnly="1" outline="0" axis="axisValues" fieldPosition="0"/>
    </format>
    <format dxfId="330">
      <pivotArea type="all" dataOnly="0" outline="0" fieldPosition="0"/>
    </format>
    <format dxfId="329">
      <pivotArea outline="0" collapsedLevelsAreSubtotals="1" fieldPosition="0"/>
    </format>
    <format dxfId="328">
      <pivotArea dataOnly="0" labelOnly="1" outline="0" axis="axisValues" fieldPosition="0"/>
    </format>
    <format dxfId="327">
      <pivotArea type="all" dataOnly="0" outline="0" fieldPosition="0"/>
    </format>
    <format dxfId="326">
      <pivotArea outline="0" collapsedLevelsAreSubtotals="1" fieldPosition="0"/>
    </format>
    <format dxfId="32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511EB-07F5-49AD-8FD0-8507A111F9CD}" name="PivotTable6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2" rowHeaderCaption="Category">
  <location ref="H3:I7" firstHeaderRow="1" firstDataRow="1" firstDataCol="1"/>
  <pivotFields count="14">
    <pivotField showAll="0"/>
    <pivotField numFmtId="14" showAll="0">
      <items count="7">
        <item x="3"/>
        <item x="2"/>
        <item x="0"/>
        <item x="1"/>
        <item x="5"/>
        <item x="4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مجموع من Sales" fld="8" baseField="0" baseItem="0"/>
  </dataFields>
  <formats count="24">
    <format dxfId="360">
      <pivotArea type="all" dataOnly="0" outline="0" fieldPosition="0"/>
    </format>
    <format dxfId="359">
      <pivotArea outline="0" collapsedLevelsAreSubtotals="1" fieldPosition="0"/>
    </format>
    <format dxfId="358">
      <pivotArea field="4" type="button" dataOnly="0" labelOnly="1" outline="0" axis="axisRow" fieldPosition="0"/>
    </format>
    <format dxfId="357">
      <pivotArea dataOnly="0" labelOnly="1" fieldPosition="0">
        <references count="1">
          <reference field="4" count="0"/>
        </references>
      </pivotArea>
    </format>
    <format dxfId="356">
      <pivotArea dataOnly="0" labelOnly="1" grandRow="1" outline="0" fieldPosition="0"/>
    </format>
    <format dxfId="355">
      <pivotArea dataOnly="0" labelOnly="1" outline="0" axis="axisValues" fieldPosition="0"/>
    </format>
    <format dxfId="354">
      <pivotArea type="all" dataOnly="0" outline="0" fieldPosition="0"/>
    </format>
    <format dxfId="353">
      <pivotArea outline="0" collapsedLevelsAreSubtotals="1" fieldPosition="0"/>
    </format>
    <format dxfId="352">
      <pivotArea field="4" type="button" dataOnly="0" labelOnly="1" outline="0" axis="axisRow" fieldPosition="0"/>
    </format>
    <format dxfId="351">
      <pivotArea dataOnly="0" labelOnly="1" fieldPosition="0">
        <references count="1">
          <reference field="4" count="0"/>
        </references>
      </pivotArea>
    </format>
    <format dxfId="350">
      <pivotArea dataOnly="0" labelOnly="1" grandRow="1" outline="0" fieldPosition="0"/>
    </format>
    <format dxfId="349">
      <pivotArea dataOnly="0" labelOnly="1" outline="0" axis="axisValues" fieldPosition="0"/>
    </format>
    <format dxfId="348">
      <pivotArea type="all" dataOnly="0" outline="0" fieldPosition="0"/>
    </format>
    <format dxfId="347">
      <pivotArea outline="0" collapsedLevelsAreSubtotals="1" fieldPosition="0"/>
    </format>
    <format dxfId="346">
      <pivotArea field="4" type="button" dataOnly="0" labelOnly="1" outline="0" axis="axisRow" fieldPosition="0"/>
    </format>
    <format dxfId="345">
      <pivotArea dataOnly="0" labelOnly="1" fieldPosition="0">
        <references count="1">
          <reference field="4" count="0"/>
        </references>
      </pivotArea>
    </format>
    <format dxfId="344">
      <pivotArea dataOnly="0" labelOnly="1" grandRow="1" outline="0" fieldPosition="0"/>
    </format>
    <format dxfId="343">
      <pivotArea dataOnly="0" labelOnly="1" outline="0" axis="axisValues" fieldPosition="0"/>
    </format>
    <format dxfId="342">
      <pivotArea type="all" dataOnly="0" outline="0" fieldPosition="0"/>
    </format>
    <format dxfId="341">
      <pivotArea outline="0" collapsedLevelsAreSubtotals="1" fieldPosition="0"/>
    </format>
    <format dxfId="340">
      <pivotArea field="4" type="button" dataOnly="0" labelOnly="1" outline="0" axis="axisRow" fieldPosition="0"/>
    </format>
    <format dxfId="339">
      <pivotArea dataOnly="0" labelOnly="1" fieldPosition="0">
        <references count="1">
          <reference field="4" count="0"/>
        </references>
      </pivotArea>
    </format>
    <format dxfId="338">
      <pivotArea dataOnly="0" labelOnly="1" grandRow="1" outline="0" fieldPosition="0"/>
    </format>
    <format dxfId="337">
      <pivotArea dataOnly="0" labelOnly="1" outline="0" axis="axisValues" fieldPosition="0"/>
    </format>
  </formats>
  <chartFormats count="2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E06C2F-5B90-4DBD-AA46-4247B5439C83}" name="PivotTable5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4" rowHeaderCaption="years">
  <location ref="C3:D8" firstHeaderRow="1" firstDataRow="1" firstDataCol="1"/>
  <pivotFields count="14">
    <pivotField showAll="0"/>
    <pivotField numFmtId="14" showAll="0">
      <items count="7">
        <item x="3"/>
        <item x="2"/>
        <item x="0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مجموع من Sales" fld="8" baseField="0" baseItem="0"/>
  </dataFields>
  <formats count="20">
    <format dxfId="60">
      <pivotArea type="all" dataOnly="0" outline="0" fieldPosition="0"/>
    </format>
    <format dxfId="61">
      <pivotArea outline="0" collapsedLevelsAreSubtotals="1" fieldPosition="0"/>
    </format>
    <format dxfId="62">
      <pivotArea field="13" type="button" dataOnly="0" labelOnly="1" outline="0" axis="axisRow" fieldPosition="0"/>
    </format>
    <format dxfId="63">
      <pivotArea dataOnly="0" labelOnly="1" grandRow="1" outline="0" fieldPosition="0"/>
    </format>
    <format dxfId="64">
      <pivotArea dataOnly="0" labelOnly="1" outline="0" axis="axisValues" fieldPosition="0"/>
    </format>
    <format dxfId="65">
      <pivotArea type="all" dataOnly="0" outline="0" fieldPosition="0"/>
    </format>
    <format dxfId="66">
      <pivotArea outline="0" collapsedLevelsAreSubtotals="1" fieldPosition="0"/>
    </format>
    <format dxfId="67">
      <pivotArea field="13" type="button" dataOnly="0" labelOnly="1" outline="0" axis="axisRow" fieldPosition="0"/>
    </format>
    <format dxfId="68">
      <pivotArea dataOnly="0" labelOnly="1" grandRow="1" outline="0" fieldPosition="0"/>
    </format>
    <format dxfId="69">
      <pivotArea dataOnly="0" labelOnly="1" outline="0" axis="axisValues" fieldPosition="0"/>
    </format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13" type="button" dataOnly="0" labelOnly="1" outline="0" axis="axisRow" fieldPosition="0"/>
    </format>
    <format dxfId="73">
      <pivotArea dataOnly="0" labelOnly="1" grandRow="1" outline="0" fieldPosition="0"/>
    </format>
    <format dxfId="74">
      <pivotArea dataOnly="0" labelOnly="1" outline="0" axis="axisValues" fieldPosition="0"/>
    </format>
    <format dxfId="75">
      <pivotArea type="all" dataOnly="0" outline="0" fieldPosition="0"/>
    </format>
    <format dxfId="76">
      <pivotArea outline="0" collapsedLevelsAreSubtotals="1" fieldPosition="0"/>
    </format>
    <format dxfId="77">
      <pivotArea field="13" type="button" dataOnly="0" labelOnly="1" outline="0" axis="axisRow" fieldPosition="0"/>
    </format>
    <format dxfId="78">
      <pivotArea dataOnly="0" labelOnly="1" grandRow="1" outline="0" fieldPosition="0"/>
    </format>
    <format dxfId="79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FA8FF-242B-4F41-AC8B-118E33461839}" name="PivotTable7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 chartFormat="13" rowHeaderCaption="state">
  <location ref="M3:N8" firstHeaderRow="1" firstDataRow="1" firstDataCol="1"/>
  <pivotFields count="14">
    <pivotField showAll="0"/>
    <pivotField numFmtId="14" showAll="0">
      <items count="7">
        <item x="3"/>
        <item x="2"/>
        <item x="0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مجموع من Sales" fld="8" baseField="0" baseItem="0"/>
  </dataFields>
  <formats count="24"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7" type="button" dataOnly="0" labelOnly="1" outline="0" axis="axisRow" fieldPosition="0"/>
    </format>
    <format dxfId="381">
      <pivotArea dataOnly="0" labelOnly="1" fieldPosition="0">
        <references count="1">
          <reference field="7" count="0"/>
        </references>
      </pivotArea>
    </format>
    <format dxfId="380">
      <pivotArea dataOnly="0" labelOnly="1" grandRow="1" outline="0" fieldPosition="0"/>
    </format>
    <format dxfId="379">
      <pivotArea dataOnly="0" labelOnly="1" outline="0" axis="axisValues" fieldPosition="0"/>
    </format>
    <format dxfId="378">
      <pivotArea type="all" dataOnly="0" outline="0" fieldPosition="0"/>
    </format>
    <format dxfId="377">
      <pivotArea outline="0" collapsedLevelsAreSubtotals="1" fieldPosition="0"/>
    </format>
    <format dxfId="376">
      <pivotArea field="7" type="button" dataOnly="0" labelOnly="1" outline="0" axis="axisRow" fieldPosition="0"/>
    </format>
    <format dxfId="375">
      <pivotArea dataOnly="0" labelOnly="1" fieldPosition="0">
        <references count="1">
          <reference field="7" count="0"/>
        </references>
      </pivotArea>
    </format>
    <format dxfId="374">
      <pivotArea dataOnly="0" labelOnly="1" grandRow="1" outline="0" fieldPosition="0"/>
    </format>
    <format dxfId="373">
      <pivotArea dataOnly="0" labelOnly="1" outline="0" axis="axisValues" fieldPosition="0"/>
    </format>
    <format dxfId="372">
      <pivotArea type="all" dataOnly="0" outline="0" fieldPosition="0"/>
    </format>
    <format dxfId="371">
      <pivotArea outline="0" collapsedLevelsAreSubtotals="1" fieldPosition="0"/>
    </format>
    <format dxfId="370">
      <pivotArea field="7" type="button" dataOnly="0" labelOnly="1" outline="0" axis="axisRow" fieldPosition="0"/>
    </format>
    <format dxfId="369">
      <pivotArea dataOnly="0" labelOnly="1" fieldPosition="0">
        <references count="1">
          <reference field="7" count="0"/>
        </references>
      </pivotArea>
    </format>
    <format dxfId="368">
      <pivotArea dataOnly="0" labelOnly="1" grandRow="1" outline="0" fieldPosition="0"/>
    </format>
    <format dxfId="367">
      <pivotArea dataOnly="0" labelOnly="1" outline="0" axis="axisValues" fieldPosition="0"/>
    </format>
    <format dxfId="366">
      <pivotArea type="all" dataOnly="0" outline="0" fieldPosition="0"/>
    </format>
    <format dxfId="365">
      <pivotArea outline="0" collapsedLevelsAreSubtotals="1" fieldPosition="0"/>
    </format>
    <format dxfId="364">
      <pivotArea field="7" type="button" dataOnly="0" labelOnly="1" outline="0" axis="axisRow" fieldPosition="0"/>
    </format>
    <format dxfId="363">
      <pivotArea dataOnly="0" labelOnly="1" fieldPosition="0">
        <references count="1">
          <reference field="7" count="0"/>
        </references>
      </pivotArea>
    </format>
    <format dxfId="362">
      <pivotArea dataOnly="0" labelOnly="1" grandRow="1" outline="0" fieldPosition="0"/>
    </format>
    <format dxfId="361">
      <pivotArea dataOnly="0" labelOnly="1" outline="0" axis="axisValues" fieldPosition="0"/>
    </format>
  </format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4CC97-2C41-4A18-805A-26FBE523903B}" name="PivotTable4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12:A13" firstHeaderRow="1" firstDataRow="1" firstDataCol="0"/>
  <pivotFields count="14">
    <pivotField showAll="0"/>
    <pivotField numFmtId="14" showAll="0">
      <items count="7">
        <item x="3"/>
        <item x="2"/>
        <item x="0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Quantity Sold" fld="9" baseField="0" baseItem="0"/>
  </dataFields>
  <formats count="12">
    <format dxfId="396">
      <pivotArea type="all" dataOnly="0" outline="0" fieldPosition="0"/>
    </format>
    <format dxfId="395">
      <pivotArea outline="0" collapsedLevelsAreSubtotals="1" fieldPosition="0"/>
    </format>
    <format dxfId="394">
      <pivotArea dataOnly="0" labelOnly="1" outline="0" axis="axisValues" fieldPosition="0"/>
    </format>
    <format dxfId="393">
      <pivotArea type="all" dataOnly="0" outline="0" fieldPosition="0"/>
    </format>
    <format dxfId="392">
      <pivotArea outline="0" collapsedLevelsAreSubtotals="1" fieldPosition="0"/>
    </format>
    <format dxfId="391">
      <pivotArea dataOnly="0" labelOnly="1" outline="0" axis="axisValues" fieldPosition="0"/>
    </format>
    <format dxfId="390">
      <pivotArea type="all" dataOnly="0" outline="0" fieldPosition="0"/>
    </format>
    <format dxfId="389">
      <pivotArea outline="0" collapsedLevelsAreSubtotals="1" fieldPosition="0"/>
    </format>
    <format dxfId="388">
      <pivotArea dataOnly="0" labelOnly="1" outline="0" axis="axisValues" fieldPosition="0"/>
    </format>
    <format dxfId="387">
      <pivotArea type="all" dataOnly="0" outline="0" fieldPosition="0"/>
    </format>
    <format dxfId="386">
      <pivotArea outline="0" collapsedLevelsAreSubtotals="1" fieldPosition="0"/>
    </format>
    <format dxfId="38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868EB-81E0-4DDF-9709-DBDDA3A11A07}" name="PivotTable1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3:A4" firstHeaderRow="1" firstDataRow="1" firstDataCol="0"/>
  <pivotFields count="14">
    <pivotField showAll="0"/>
    <pivotField numFmtId="14" showAll="0">
      <items count="7">
        <item x="3"/>
        <item x="2"/>
        <item x="0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Total Sales" fld="8" baseField="4" baseItem="0"/>
  </dataFields>
  <formats count="12">
    <format dxfId="408">
      <pivotArea type="all" dataOnly="0" outline="0" fieldPosition="0"/>
    </format>
    <format dxfId="407">
      <pivotArea outline="0" collapsedLevelsAreSubtotals="1" fieldPosition="0"/>
    </format>
    <format dxfId="406">
      <pivotArea dataOnly="0" labelOnly="1" outline="0" axis="axisValues" fieldPosition="0"/>
    </format>
    <format dxfId="405">
      <pivotArea type="all" dataOnly="0" outline="0" fieldPosition="0"/>
    </format>
    <format dxfId="404">
      <pivotArea outline="0" collapsedLevelsAreSubtotals="1" fieldPosition="0"/>
    </format>
    <format dxfId="403">
      <pivotArea dataOnly="0" labelOnly="1" outline="0" axis="axisValues" fieldPosition="0"/>
    </format>
    <format dxfId="402">
      <pivotArea type="all" dataOnly="0" outline="0" fieldPosition="0"/>
    </format>
    <format dxfId="401">
      <pivotArea outline="0" collapsedLevelsAreSubtotals="1" fieldPosition="0"/>
    </format>
    <format dxfId="400">
      <pivotArea dataOnly="0" labelOnly="1" outline="0" axis="axisValues" fieldPosition="0"/>
    </format>
    <format dxfId="399">
      <pivotArea type="all" dataOnly="0" outline="0" fieldPosition="0"/>
    </format>
    <format dxfId="398">
      <pivotArea outline="0" collapsedLevelsAreSubtotals="1" fieldPosition="0"/>
    </format>
    <format dxfId="39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3084A-EC3D-421C-9460-ECDA59CB3A87}" name="PivotTable3" cacheId="0" applyNumberFormats="0" applyBorderFormats="0" applyFontFormats="0" applyPatternFormats="0" applyAlignmentFormats="0" applyWidthHeightFormats="1" dataCaption="القيم" updatedVersion="8" minRefreshableVersion="3" useAutoFormatting="1" itemPrintTitles="1" createdVersion="8" indent="0" outline="1" outlineData="1" multipleFieldFilters="0">
  <location ref="A9:A10" firstHeaderRow="1" firstDataRow="1" firstDataCol="0"/>
  <pivotFields count="14">
    <pivotField showAll="0"/>
    <pivotField numFmtId="14" showAll="0">
      <items count="7">
        <item x="3"/>
        <item x="2"/>
        <item x="0"/>
        <item x="1"/>
        <item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dataFields count="1">
    <dataField name="Average Order Value" fld="8" subtotal="average" baseField="0" baseItem="0"/>
  </dataFields>
  <formats count="12">
    <format dxfId="420">
      <pivotArea type="all" dataOnly="0" outline="0" fieldPosition="0"/>
    </format>
    <format dxfId="419">
      <pivotArea outline="0" collapsedLevelsAreSubtotals="1" fieldPosition="0"/>
    </format>
    <format dxfId="418">
      <pivotArea dataOnly="0" labelOnly="1" outline="0" axis="axisValues" fieldPosition="0"/>
    </format>
    <format dxfId="417">
      <pivotArea type="all" dataOnly="0" outline="0" fieldPosition="0"/>
    </format>
    <format dxfId="416">
      <pivotArea outline="0" collapsedLevelsAreSubtotals="1" fieldPosition="0"/>
    </format>
    <format dxfId="415">
      <pivotArea dataOnly="0" labelOnly="1" outline="0" axis="axisValues" fieldPosition="0"/>
    </format>
    <format dxfId="414">
      <pivotArea type="all" dataOnly="0" outline="0" fieldPosition="0"/>
    </format>
    <format dxfId="413">
      <pivotArea outline="0" collapsedLevelsAreSubtotals="1" fieldPosition="0"/>
    </format>
    <format dxfId="412">
      <pivotArea dataOnly="0" labelOnly="1" outline="0" axis="axisValues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DD9A0C-E79D-4952-841A-BEDA3DC509DF}" autoFormatId="16" applyNumberFormats="0" applyBorderFormats="0" applyFontFormats="0" applyPatternFormats="0" applyAlignmentFormats="0" applyWidthHeightFormats="0">
  <queryTableRefresh nextId="12">
    <queryTableFields count="11">
      <queryTableField id="1" name="Order ID" tableColumnId="1"/>
      <queryTableField id="2" name="Order Date" tableColumnId="2"/>
      <queryTableField id="3" name="Customer ID" tableColumnId="3"/>
      <queryTableField id="4" name="Product Name" tableColumnId="4"/>
      <queryTableField id="5" name="Category" tableColumnId="5"/>
      <queryTableField id="6" name="SubCat" tableColumnId="6"/>
      <queryTableField id="7" name="Region" tableColumnId="7"/>
      <queryTableField id="8" name="State" tableColumnId="8"/>
      <queryTableField id="9" name="Sales" tableColumnId="9"/>
      <queryTableField id="10" name="Quantity" tableColumnId="10"/>
      <queryTableField id="11" name="Profit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28B2EB-59C0-4ADB-8BB8-E07B510384E3}" name="الجدول1_1" displayName="الجدول1_1" ref="A1:K11" tableType="queryTable" totalsRowShown="0">
  <autoFilter ref="A1:K11" xr:uid="{5528B2EB-59C0-4ADB-8BB8-E07B510384E3}"/>
  <tableColumns count="11">
    <tableColumn id="1" xr3:uid="{B4793DE7-C872-4B92-89C0-772C0E7BA708}" uniqueName="1" name="Order ID" queryTableFieldId="1" dataDxfId="429"/>
    <tableColumn id="2" xr3:uid="{DED1EBEE-F4DE-4E8D-AB2F-E57860C6C5EC}" uniqueName="2" name="Order Date" queryTableFieldId="2" dataDxfId="428"/>
    <tableColumn id="3" xr3:uid="{09F411A4-B933-458A-88E8-948A08237B26}" uniqueName="3" name="Customer ID" queryTableFieldId="3" dataDxfId="427"/>
    <tableColumn id="4" xr3:uid="{520BEF9F-D1B7-4037-BF93-1B752A945BC7}" uniqueName="4" name="Product Name" queryTableFieldId="4" dataDxfId="426"/>
    <tableColumn id="5" xr3:uid="{EE45591E-3926-40F1-B639-3806D0130B87}" uniqueName="5" name="Category" queryTableFieldId="5" dataDxfId="425"/>
    <tableColumn id="6" xr3:uid="{D25788C3-AAC3-41C4-8002-7AA52582713F}" uniqueName="6" name="SubCat" queryTableFieldId="6" dataDxfId="424"/>
    <tableColumn id="7" xr3:uid="{71A55446-E68F-43F7-ADF9-CF301014555F}" uniqueName="7" name="Region" queryTableFieldId="7" dataDxfId="423"/>
    <tableColumn id="8" xr3:uid="{C3615DA8-7C8B-4715-BB9A-5F606BFDDDF5}" uniqueName="8" name="State" queryTableFieldId="8" dataDxfId="422"/>
    <tableColumn id="9" xr3:uid="{02367E72-DD68-4072-BA19-C88E636171FE}" uniqueName="9" name="Sales" queryTableFieldId="9"/>
    <tableColumn id="10" xr3:uid="{5558EDC3-0E13-43BD-B033-6939D4F8C8B7}" uniqueName="10" name="Quantity" queryTableFieldId="10"/>
    <tableColumn id="11" xr3:uid="{621AC8C2-A473-441C-87CB-8E4676871AB4}" uniqueName="11" name="Profit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4419FF-2AA8-4DAE-9373-942F643D0F6F}" name="الجدول1" displayName="الجدول1" ref="A1:K11" totalsRowShown="0">
  <autoFilter ref="A1:K11" xr:uid="{524419FF-2AA8-4DAE-9373-942F643D0F6F}"/>
  <tableColumns count="11">
    <tableColumn id="1" xr3:uid="{245BD607-83F7-4708-A1A1-F7D0D112A5EC}" name="Order ID"/>
    <tableColumn id="2" xr3:uid="{17E7BD4B-72F3-4082-8F39-465095E5B941}" name="Order Date" dataDxfId="421"/>
    <tableColumn id="3" xr3:uid="{0D086733-7105-414C-9F02-F5244101646E}" name="Customer ID"/>
    <tableColumn id="4" xr3:uid="{7B36FB13-F20C-46FB-B1D0-C28E9B8CF0A9}" name="Product Name"/>
    <tableColumn id="5" xr3:uid="{95E87599-3EB5-4A30-A772-C1391C826B80}" name="Category"/>
    <tableColumn id="6" xr3:uid="{5CC9A75A-C81E-4A30-A0E5-2C6BF181743F}" name="Sub-Category"/>
    <tableColumn id="7" xr3:uid="{6F5DBFCA-5AA5-441A-954D-E5194948070B}" name="Region"/>
    <tableColumn id="8" xr3:uid="{E4868BE0-39CB-482F-A148-D96D8E6BA206}" name="State"/>
    <tableColumn id="9" xr3:uid="{5460DA57-F41A-4692-8DFE-120ACDE807AD}" name="Sales"/>
    <tableColumn id="10" xr3:uid="{A65C4C31-94C1-43DC-812A-C877E997FDB5}" name="Quantity"/>
    <tableColumn id="11" xr3:uid="{88E43811-82CB-42F6-ACD9-90DC135F1A05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AEA5-9224-477B-8E7F-6618A5CED91E}">
  <dimension ref="A1:K11"/>
  <sheetViews>
    <sheetView workbookViewId="0">
      <selection activeCell="E1" sqref="E1"/>
    </sheetView>
  </sheetViews>
  <sheetFormatPr defaultRowHeight="14" x14ac:dyDescent="0.3"/>
  <cols>
    <col min="1" max="1" width="14.58203125" bestFit="1" customWidth="1"/>
    <col min="2" max="2" width="12.08203125" bestFit="1" customWidth="1"/>
    <col min="3" max="3" width="13.4140625" bestFit="1" customWidth="1"/>
    <col min="4" max="4" width="15.08203125" bestFit="1" customWidth="1"/>
    <col min="5" max="5" width="13.08203125" bestFit="1" customWidth="1"/>
    <col min="6" max="6" width="9.75" bestFit="1" customWidth="1"/>
    <col min="7" max="7" width="8.83203125" bestFit="1" customWidth="1"/>
    <col min="8" max="8" width="10.1640625" bestFit="1" customWidth="1"/>
    <col min="9" max="9" width="7.5" bestFit="1" customWidth="1"/>
    <col min="10" max="10" width="9.9140625" bestFit="1" customWidth="1"/>
    <col min="11" max="11" width="7.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42593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262</v>
      </c>
      <c r="J2">
        <v>2</v>
      </c>
      <c r="K2">
        <v>42</v>
      </c>
    </row>
    <row r="3" spans="1:11" x14ac:dyDescent="0.3">
      <c r="A3" t="s">
        <v>11</v>
      </c>
      <c r="B3" s="1">
        <v>42593</v>
      </c>
      <c r="C3" t="s">
        <v>12</v>
      </c>
      <c r="D3" t="s">
        <v>18</v>
      </c>
      <c r="E3" t="s">
        <v>14</v>
      </c>
      <c r="F3" t="s">
        <v>19</v>
      </c>
      <c r="G3" t="s">
        <v>16</v>
      </c>
      <c r="H3" t="s">
        <v>17</v>
      </c>
      <c r="I3">
        <v>15</v>
      </c>
      <c r="J3">
        <v>3</v>
      </c>
      <c r="K3">
        <v>7</v>
      </c>
    </row>
    <row r="4" spans="1:11" x14ac:dyDescent="0.3">
      <c r="A4" t="s">
        <v>20</v>
      </c>
      <c r="B4" s="1">
        <v>42710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958</v>
      </c>
      <c r="J4">
        <v>5</v>
      </c>
      <c r="K4">
        <v>193</v>
      </c>
    </row>
    <row r="5" spans="1:11" x14ac:dyDescent="0.3">
      <c r="A5" t="s">
        <v>27</v>
      </c>
      <c r="B5" s="1">
        <v>42318</v>
      </c>
      <c r="C5" t="s">
        <v>28</v>
      </c>
      <c r="D5" t="s">
        <v>29</v>
      </c>
      <c r="E5" t="s">
        <v>23</v>
      </c>
      <c r="F5" t="s">
        <v>30</v>
      </c>
      <c r="G5" t="s">
        <v>31</v>
      </c>
      <c r="H5" t="s">
        <v>32</v>
      </c>
      <c r="I5">
        <v>22</v>
      </c>
      <c r="J5">
        <v>2</v>
      </c>
      <c r="K5">
        <v>2</v>
      </c>
    </row>
    <row r="6" spans="1:11" x14ac:dyDescent="0.3">
      <c r="A6" t="s">
        <v>27</v>
      </c>
      <c r="B6" s="1">
        <v>42318</v>
      </c>
      <c r="C6" t="s">
        <v>28</v>
      </c>
      <c r="D6" t="s">
        <v>33</v>
      </c>
      <c r="E6" t="s">
        <v>14</v>
      </c>
      <c r="F6" t="s">
        <v>33</v>
      </c>
      <c r="G6" t="s">
        <v>31</v>
      </c>
      <c r="H6" t="s">
        <v>32</v>
      </c>
      <c r="I6">
        <v>115</v>
      </c>
      <c r="J6">
        <v>3</v>
      </c>
      <c r="K6">
        <v>35</v>
      </c>
    </row>
    <row r="7" spans="1:11" x14ac:dyDescent="0.3">
      <c r="A7" t="s">
        <v>34</v>
      </c>
      <c r="B7" s="1">
        <v>41888</v>
      </c>
      <c r="C7" t="s">
        <v>35</v>
      </c>
      <c r="D7" t="s">
        <v>36</v>
      </c>
      <c r="E7" t="s">
        <v>23</v>
      </c>
      <c r="F7" t="s">
        <v>37</v>
      </c>
      <c r="G7" t="s">
        <v>25</v>
      </c>
      <c r="H7" t="s">
        <v>38</v>
      </c>
      <c r="I7">
        <v>37</v>
      </c>
      <c r="J7">
        <v>5</v>
      </c>
      <c r="K7">
        <v>20</v>
      </c>
    </row>
    <row r="8" spans="1:11" x14ac:dyDescent="0.3">
      <c r="A8" t="s">
        <v>34</v>
      </c>
      <c r="B8" s="1">
        <v>41888</v>
      </c>
      <c r="C8" t="s">
        <v>35</v>
      </c>
      <c r="D8" t="s">
        <v>39</v>
      </c>
      <c r="E8" t="s">
        <v>14</v>
      </c>
      <c r="F8" t="s">
        <v>39</v>
      </c>
      <c r="G8" t="s">
        <v>25</v>
      </c>
      <c r="H8" t="s">
        <v>38</v>
      </c>
      <c r="I8">
        <v>22</v>
      </c>
      <c r="J8">
        <v>2</v>
      </c>
      <c r="K8">
        <v>8</v>
      </c>
    </row>
    <row r="9" spans="1:11" x14ac:dyDescent="0.3">
      <c r="A9" t="s">
        <v>40</v>
      </c>
      <c r="B9" s="1">
        <v>42770</v>
      </c>
      <c r="C9" t="s">
        <v>41</v>
      </c>
      <c r="D9" t="s">
        <v>42</v>
      </c>
      <c r="E9" t="s">
        <v>43</v>
      </c>
      <c r="F9" t="s">
        <v>44</v>
      </c>
      <c r="G9" t="s">
        <v>16</v>
      </c>
      <c r="H9" t="s">
        <v>17</v>
      </c>
      <c r="I9">
        <v>665</v>
      </c>
      <c r="J9">
        <v>3</v>
      </c>
      <c r="K9">
        <v>249</v>
      </c>
    </row>
    <row r="10" spans="1:11" x14ac:dyDescent="0.3">
      <c r="A10" t="s">
        <v>40</v>
      </c>
      <c r="B10" s="1">
        <v>42770</v>
      </c>
      <c r="C10" t="s">
        <v>41</v>
      </c>
      <c r="D10" t="s">
        <v>33</v>
      </c>
      <c r="E10" t="s">
        <v>14</v>
      </c>
      <c r="F10" t="s">
        <v>33</v>
      </c>
      <c r="G10" t="s">
        <v>16</v>
      </c>
      <c r="H10" t="s">
        <v>17</v>
      </c>
      <c r="I10">
        <v>16</v>
      </c>
      <c r="J10">
        <v>2</v>
      </c>
      <c r="K10">
        <v>6</v>
      </c>
    </row>
    <row r="11" spans="1:11" x14ac:dyDescent="0.3">
      <c r="A11" t="s">
        <v>45</v>
      </c>
      <c r="B11" s="1">
        <v>42711</v>
      </c>
      <c r="C11" t="s">
        <v>46</v>
      </c>
      <c r="D11" t="s">
        <v>47</v>
      </c>
      <c r="E11" t="s">
        <v>43</v>
      </c>
      <c r="F11" t="s">
        <v>48</v>
      </c>
      <c r="G11" t="s">
        <v>25</v>
      </c>
      <c r="H11" t="s">
        <v>26</v>
      </c>
      <c r="I11">
        <v>456</v>
      </c>
      <c r="J11">
        <v>5</v>
      </c>
      <c r="K11">
        <v>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281F-D840-4E68-B9BC-619D2731A13A}">
  <dimension ref="A1:K11"/>
  <sheetViews>
    <sheetView workbookViewId="0">
      <selection activeCell="E1" sqref="E1"/>
    </sheetView>
  </sheetViews>
  <sheetFormatPr defaultRowHeight="14" x14ac:dyDescent="0.3"/>
  <cols>
    <col min="1" max="1" width="14.4140625" customWidth="1"/>
    <col min="2" max="2" width="11.83203125" customWidth="1"/>
    <col min="3" max="3" width="13.1640625" customWidth="1"/>
    <col min="4" max="4" width="14.75" customWidth="1"/>
    <col min="5" max="5" width="10.25" customWidth="1"/>
    <col min="6" max="6" width="14.25" customWidth="1"/>
    <col min="10" max="10" width="9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42593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261.95999999999998</v>
      </c>
      <c r="J2">
        <v>2</v>
      </c>
      <c r="K2">
        <v>41.91</v>
      </c>
    </row>
    <row r="3" spans="1:11" x14ac:dyDescent="0.3">
      <c r="A3" t="s">
        <v>11</v>
      </c>
      <c r="B3" s="1">
        <v>42593</v>
      </c>
      <c r="C3" t="s">
        <v>12</v>
      </c>
      <c r="D3" t="s">
        <v>18</v>
      </c>
      <c r="E3" t="s">
        <v>14</v>
      </c>
      <c r="F3" t="s">
        <v>19</v>
      </c>
      <c r="G3" t="s">
        <v>16</v>
      </c>
      <c r="H3" t="s">
        <v>17</v>
      </c>
      <c r="I3">
        <v>14.62</v>
      </c>
      <c r="J3">
        <v>3</v>
      </c>
      <c r="K3">
        <v>6.87</v>
      </c>
    </row>
    <row r="4" spans="1:11" x14ac:dyDescent="0.3">
      <c r="A4" t="s">
        <v>20</v>
      </c>
      <c r="B4" s="1">
        <v>42710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>
        <v>957.58</v>
      </c>
      <c r="J4">
        <v>5</v>
      </c>
      <c r="K4">
        <v>192.95</v>
      </c>
    </row>
    <row r="5" spans="1:11" x14ac:dyDescent="0.3">
      <c r="A5" t="s">
        <v>27</v>
      </c>
      <c r="B5" s="1">
        <v>42318</v>
      </c>
      <c r="C5" t="s">
        <v>28</v>
      </c>
      <c r="D5" t="s">
        <v>29</v>
      </c>
      <c r="E5" t="s">
        <v>23</v>
      </c>
      <c r="F5" t="s">
        <v>30</v>
      </c>
      <c r="G5" t="s">
        <v>31</v>
      </c>
      <c r="H5" t="s">
        <v>32</v>
      </c>
      <c r="I5">
        <v>22.37</v>
      </c>
      <c r="J5">
        <v>2</v>
      </c>
      <c r="K5">
        <v>2.4500000000000002</v>
      </c>
    </row>
    <row r="6" spans="1:11" x14ac:dyDescent="0.3">
      <c r="A6" t="s">
        <v>27</v>
      </c>
      <c r="B6" s="1">
        <v>42318</v>
      </c>
      <c r="C6" t="s">
        <v>28</v>
      </c>
      <c r="D6" t="s">
        <v>33</v>
      </c>
      <c r="E6" t="s">
        <v>14</v>
      </c>
      <c r="F6" t="s">
        <v>33</v>
      </c>
      <c r="G6" t="s">
        <v>31</v>
      </c>
      <c r="H6" t="s">
        <v>32</v>
      </c>
      <c r="I6">
        <v>114.9</v>
      </c>
      <c r="J6">
        <v>3</v>
      </c>
      <c r="K6">
        <v>35.340000000000003</v>
      </c>
    </row>
    <row r="7" spans="1:11" x14ac:dyDescent="0.3">
      <c r="A7" t="s">
        <v>34</v>
      </c>
      <c r="B7" s="1">
        <v>41888</v>
      </c>
      <c r="C7" t="s">
        <v>35</v>
      </c>
      <c r="D7" t="s">
        <v>36</v>
      </c>
      <c r="E7" t="s">
        <v>23</v>
      </c>
      <c r="F7" t="s">
        <v>37</v>
      </c>
      <c r="G7" t="s">
        <v>25</v>
      </c>
      <c r="H7" t="s">
        <v>38</v>
      </c>
      <c r="I7">
        <v>37.47</v>
      </c>
      <c r="J7">
        <v>5</v>
      </c>
      <c r="K7">
        <v>20</v>
      </c>
    </row>
    <row r="8" spans="1:11" x14ac:dyDescent="0.3">
      <c r="A8" t="s">
        <v>34</v>
      </c>
      <c r="B8" s="1">
        <v>41888</v>
      </c>
      <c r="C8" t="s">
        <v>35</v>
      </c>
      <c r="D8" t="s">
        <v>39</v>
      </c>
      <c r="E8" t="s">
        <v>14</v>
      </c>
      <c r="F8" t="s">
        <v>39</v>
      </c>
      <c r="G8" t="s">
        <v>25</v>
      </c>
      <c r="H8" t="s">
        <v>38</v>
      </c>
      <c r="I8">
        <v>22.22</v>
      </c>
      <c r="J8">
        <v>2</v>
      </c>
      <c r="K8">
        <v>7.88</v>
      </c>
    </row>
    <row r="9" spans="1:11" x14ac:dyDescent="0.3">
      <c r="A9" t="s">
        <v>40</v>
      </c>
      <c r="B9" s="1">
        <v>42770</v>
      </c>
      <c r="C9" t="s">
        <v>41</v>
      </c>
      <c r="D9" t="s">
        <v>42</v>
      </c>
      <c r="E9" t="s">
        <v>43</v>
      </c>
      <c r="F9" t="s">
        <v>44</v>
      </c>
      <c r="G9" t="s">
        <v>16</v>
      </c>
      <c r="H9" t="s">
        <v>17</v>
      </c>
      <c r="I9">
        <v>664.99</v>
      </c>
      <c r="J9">
        <v>3</v>
      </c>
      <c r="K9">
        <v>248.96</v>
      </c>
    </row>
    <row r="10" spans="1:11" x14ac:dyDescent="0.3">
      <c r="A10" t="s">
        <v>40</v>
      </c>
      <c r="B10" s="1">
        <v>42770</v>
      </c>
      <c r="C10" t="s">
        <v>41</v>
      </c>
      <c r="D10" t="s">
        <v>33</v>
      </c>
      <c r="E10" t="s">
        <v>14</v>
      </c>
      <c r="F10" t="s">
        <v>33</v>
      </c>
      <c r="G10" t="s">
        <v>16</v>
      </c>
      <c r="H10" t="s">
        <v>17</v>
      </c>
      <c r="I10">
        <v>15.99</v>
      </c>
      <c r="J10">
        <v>2</v>
      </c>
      <c r="K10">
        <v>5.99</v>
      </c>
    </row>
    <row r="11" spans="1:11" x14ac:dyDescent="0.3">
      <c r="A11" t="s">
        <v>45</v>
      </c>
      <c r="B11" s="1">
        <v>42711</v>
      </c>
      <c r="C11" t="s">
        <v>46</v>
      </c>
      <c r="D11" t="s">
        <v>47</v>
      </c>
      <c r="E11" t="s">
        <v>43</v>
      </c>
      <c r="F11" t="s">
        <v>48</v>
      </c>
      <c r="G11" t="s">
        <v>25</v>
      </c>
      <c r="H11" t="s">
        <v>26</v>
      </c>
      <c r="I11">
        <v>456.39</v>
      </c>
      <c r="J11">
        <v>5</v>
      </c>
      <c r="K11">
        <v>123.45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3254-F6C6-4BA6-BA63-F81675124586}">
  <dimension ref="A3:N13"/>
  <sheetViews>
    <sheetView showGridLines="0" zoomScale="50" zoomScaleNormal="50" workbookViewId="0">
      <selection activeCell="C3" sqref="C3:D8"/>
    </sheetView>
  </sheetViews>
  <sheetFormatPr defaultRowHeight="22.5" x14ac:dyDescent="0.3"/>
  <cols>
    <col min="1" max="1" width="19.75" style="3" bestFit="1" customWidth="1"/>
    <col min="2" max="2" width="12.5" style="3" customWidth="1"/>
    <col min="3" max="3" width="17.9140625" style="3" bestFit="1" customWidth="1"/>
    <col min="4" max="4" width="21.08203125" style="3" bestFit="1" customWidth="1"/>
    <col min="5" max="7" width="8.6640625" style="3"/>
    <col min="8" max="8" width="23.25" style="3" bestFit="1" customWidth="1"/>
    <col min="9" max="9" width="21.08203125" style="3" bestFit="1" customWidth="1"/>
    <col min="10" max="12" width="8.6640625" style="3"/>
    <col min="13" max="13" width="17.25" style="3" bestFit="1" customWidth="1"/>
    <col min="14" max="14" width="21.08203125" style="3" bestFit="1" customWidth="1"/>
    <col min="15" max="15" width="8.6640625" style="3"/>
    <col min="16" max="16" width="17.25" style="3" bestFit="1" customWidth="1"/>
    <col min="17" max="17" width="21.08203125" style="3" bestFit="1" customWidth="1"/>
    <col min="18" max="16384" width="8.6640625" style="3"/>
  </cols>
  <sheetData>
    <row r="3" spans="1:14" x14ac:dyDescent="0.3">
      <c r="A3" s="8" t="s">
        <v>55</v>
      </c>
      <c r="C3" s="7" t="s">
        <v>60</v>
      </c>
      <c r="D3" s="8" t="s">
        <v>50</v>
      </c>
      <c r="H3" s="7" t="s">
        <v>4</v>
      </c>
      <c r="I3" s="8" t="s">
        <v>50</v>
      </c>
      <c r="M3" s="7" t="s">
        <v>61</v>
      </c>
      <c r="N3" s="8" t="s">
        <v>50</v>
      </c>
    </row>
    <row r="4" spans="1:14" x14ac:dyDescent="0.3">
      <c r="A4" s="8">
        <v>2568</v>
      </c>
      <c r="C4" s="10" t="s">
        <v>56</v>
      </c>
      <c r="D4" s="11">
        <v>59</v>
      </c>
      <c r="H4" s="4" t="s">
        <v>23</v>
      </c>
      <c r="I4" s="4">
        <v>1017</v>
      </c>
      <c r="M4" s="4" t="s">
        <v>17</v>
      </c>
      <c r="N4" s="4">
        <v>958</v>
      </c>
    </row>
    <row r="5" spans="1:14" x14ac:dyDescent="0.3">
      <c r="A5" s="5"/>
      <c r="C5" s="10" t="s">
        <v>57</v>
      </c>
      <c r="D5" s="12">
        <v>137</v>
      </c>
      <c r="H5" s="5" t="s">
        <v>14</v>
      </c>
      <c r="I5" s="5">
        <v>430</v>
      </c>
      <c r="M5" s="5" t="s">
        <v>32</v>
      </c>
      <c r="N5" s="5">
        <v>137</v>
      </c>
    </row>
    <row r="6" spans="1:14" x14ac:dyDescent="0.3">
      <c r="A6" s="8" t="s">
        <v>54</v>
      </c>
      <c r="C6" s="10" t="s">
        <v>58</v>
      </c>
      <c r="D6" s="12">
        <v>1691</v>
      </c>
      <c r="H6" s="6" t="s">
        <v>43</v>
      </c>
      <c r="I6" s="5">
        <v>1121</v>
      </c>
      <c r="M6" s="5" t="s">
        <v>38</v>
      </c>
      <c r="N6" s="5">
        <v>59</v>
      </c>
    </row>
    <row r="7" spans="1:14" x14ac:dyDescent="0.3">
      <c r="A7" s="8">
        <v>10</v>
      </c>
      <c r="C7" s="10" t="s">
        <v>59</v>
      </c>
      <c r="D7" s="12">
        <v>681</v>
      </c>
      <c r="H7" s="8" t="s">
        <v>51</v>
      </c>
      <c r="I7" s="6">
        <v>2568</v>
      </c>
      <c r="M7" s="6" t="s">
        <v>26</v>
      </c>
      <c r="N7" s="5">
        <v>1414</v>
      </c>
    </row>
    <row r="8" spans="1:14" x14ac:dyDescent="0.3">
      <c r="A8" s="5"/>
      <c r="C8" s="8" t="s">
        <v>51</v>
      </c>
      <c r="D8" s="9">
        <v>2568</v>
      </c>
      <c r="M8" s="8" t="s">
        <v>51</v>
      </c>
      <c r="N8" s="6">
        <v>2568</v>
      </c>
    </row>
    <row r="9" spans="1:14" x14ac:dyDescent="0.3">
      <c r="A9" s="8" t="s">
        <v>53</v>
      </c>
      <c r="C9"/>
      <c r="D9"/>
    </row>
    <row r="10" spans="1:14" x14ac:dyDescent="0.3">
      <c r="A10" s="8">
        <v>256.8</v>
      </c>
    </row>
    <row r="11" spans="1:14" x14ac:dyDescent="0.3">
      <c r="A11" s="5"/>
    </row>
    <row r="12" spans="1:14" x14ac:dyDescent="0.3">
      <c r="A12" s="8" t="s">
        <v>52</v>
      </c>
    </row>
    <row r="13" spans="1:14" x14ac:dyDescent="0.3">
      <c r="A13" s="8">
        <v>32</v>
      </c>
    </row>
  </sheetData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1BB3-8DC5-4ED2-8FF8-CF4258B48149}">
  <dimension ref="P2:P5"/>
  <sheetViews>
    <sheetView showGridLines="0" tabSelected="1" zoomScale="90" zoomScaleNormal="90" workbookViewId="0">
      <selection activeCell="P13" sqref="P13"/>
    </sheetView>
  </sheetViews>
  <sheetFormatPr defaultRowHeight="14" x14ac:dyDescent="0.3"/>
  <cols>
    <col min="1" max="1" width="8.6640625" style="2"/>
    <col min="2" max="2" width="13.9140625" style="2" customWidth="1"/>
    <col min="3" max="16384" width="8.6640625" style="2"/>
  </cols>
  <sheetData>
    <row r="2" spans="16:16" x14ac:dyDescent="0.3">
      <c r="P2" s="2">
        <f>GETPIVOTDATA("Sales",PV!$A$3)</f>
        <v>2568</v>
      </c>
    </row>
    <row r="3" spans="16:16" x14ac:dyDescent="0.3">
      <c r="P3" s="2">
        <f>GETPIVOTDATA("Order ID",PV!$A$6)</f>
        <v>10</v>
      </c>
    </row>
    <row r="4" spans="16:16" x14ac:dyDescent="0.3">
      <c r="P4" s="2">
        <f>GETPIVOTDATA("Sales",PV!$A$9)</f>
        <v>256.8</v>
      </c>
    </row>
    <row r="5" spans="16:16" x14ac:dyDescent="0.3">
      <c r="P5" s="2">
        <f>GETPIVOTDATA("Quantity",PV!$A$12)</f>
        <v>32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1C9CD9-25ED-4A4C-B30A-6F309C8395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Cleaned_Sales_Data</vt:lpstr>
      <vt:lpstr>Sales_Data</vt:lpstr>
      <vt:lpstr>PV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2025-12-14T06:31:56Z</dcterms:created>
  <dcterms:modified xsi:type="dcterms:W3CDTF">2025-12-16T07:01:06Z</dcterms:modified>
</cp:coreProperties>
</file>